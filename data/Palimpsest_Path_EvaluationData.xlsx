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P32 Daily Log" sheetId="1" r:id="rId5"/>
    <sheet state="visible" name="Happiness Index" sheetId="2" r:id="rId6"/>
    <sheet state="visible" name="Weekly Synthesis" sheetId="3" r:id="rId7"/>
    <sheet state="visible" name="SROI Calculator" sheetId="4" r:id="rId8"/>
  </sheets>
  <definedNames/>
  <calcPr/>
</workbook>
</file>

<file path=xl/sharedStrings.xml><?xml version="1.0" encoding="utf-8"?>
<sst xmlns="http://schemas.openxmlformats.org/spreadsheetml/2006/main" count="242" uniqueCount="95">
  <si>
    <t>ESP32 Daily Log  —  The Palimpsest Path</t>
  </si>
  <si>
    <t>Blue = enter data   |   Green = calculated   |   Flag column: R=Rain, H=Hardware fault, M=Missing data</t>
  </si>
  <si>
    <t>Date</t>
  </si>
  <si>
    <t>Week / Phase</t>
  </si>
  <si>
    <t>Unit A
Valid? Y/N</t>
  </si>
  <si>
    <t>Unit B
Valid? Y/N</t>
  </si>
  <si>
    <t>Total Passes
(Unit A)</t>
  </si>
  <si>
    <t>Transit
(&lt;30s)</t>
  </si>
  <si>
    <t>Pause
(30–120s)</t>
  </si>
  <si>
    <t>Dwell
(&gt;120s)</t>
  </si>
  <si>
    <t>Median Dwell
(seconds)</t>
  </si>
  <si>
    <t>Flag / Notes</t>
  </si>
  <si>
    <t>Phase 0 – Baseline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</si>
  <si>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</si>
  <si>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</si>
  <si>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</si>
  <si>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</si>
  <si>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</si>
  <si>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</si>
  <si>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</si>
  <si>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</si>
  <si>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WEEKLY SUMMARY</t>
  </si>
  <si>
    <t>Week</t>
  </si>
  <si>
    <t>Phase</t>
  </si>
  <si>
    <t>Valid Days</t>
  </si>
  <si>
    <t>Total Passes</t>
  </si>
  <si>
    <t>% Transit</t>
  </si>
  <si>
    <t>% Pause</t>
  </si>
  <si>
    <t>% Dwell</t>
  </si>
  <si>
    <t>Median Dwell (s)</t>
  </si>
  <si>
    <t>Rain Events</t>
  </si>
  <si>
    <t>Notes</t>
  </si>
  <si>
    <t>Phase 0</t>
  </si>
  <si>
    <t>Happiness Index — Daily Coding Log</t>
  </si>
  <si>
    <t>Fresh graph each day (Week 3 onwards). Photograph each morning. Blue = enter data. Green = calculated.</t>
  </si>
  <si>
    <t>Rain Reset?
Y/N</t>
  </si>
  <si>
    <t>Bar Count
(participants)</t>
  </si>
  <si>
    <t>Median Bar
Height (0–10)</t>
  </si>
  <si>
    <t>Distribution
High/Mid/Low/Spread</t>
  </si>
  <si>
    <t>Written
Annotations? Y/N</t>
  </si>
  <si>
    <t>Photo
Filename</t>
  </si>
  <si>
    <t>Total Bars Drawn</t>
  </si>
  <si>
    <t>Mean Bar Count/Day</t>
  </si>
  <si>
    <t>Median Height</t>
  </si>
  <si>
    <t>% High (7–10)</t>
  </si>
  <si>
    <t>% Low (0–3)</t>
  </si>
  <si>
    <t>Rain Resets</t>
  </si>
  <si>
    <t>Weekly Synthesis Sheet — The Palimpsest Path</t>
  </si>
  <si>
    <t>Complete each Sunday evening. One row per week. Reflection note is optional.</t>
  </si>
  <si>
    <t>Current Prompt</t>
  </si>
  <si>
    <t>ESP32:
Median Dwell (s)</t>
  </si>
  <si>
    <t>ESP32:
% Dwell Events</t>
  </si>
  <si>
    <t>Happiness:
Median Score</t>
  </si>
  <si>
    <t>Happiness:
Bar Count</t>
  </si>
  <si>
    <t>Photo Archive:
Chalk Density</t>
  </si>
  <si>
    <t>Photo Archive:
Top Emerging Theme</t>
  </si>
  <si>
    <t>No chalk — baseline</t>
  </si>
  <si>
    <t>n/a</t>
  </si>
  <si>
    <t>Steps only (no prompt)</t>
  </si>
  <si>
    <t>Steps + colour (no prompt)</t>
  </si>
  <si>
    <t>What did you notice on the water today?</t>
  </si>
  <si>
    <t>I have walked this track for ___ years. My favourite spot is ___.</t>
  </si>
  <si>
    <t>Draw a line from your story to someone else’s.</t>
  </si>
  <si>
    <t>How connected to Cygnet do you feel today?</t>
  </si>
  <si>
    <t>What do you wish for the future of this boardwalk?</t>
  </si>
  <si>
    <t>Fill the bannister with the faces of people you imagine walk here.</t>
  </si>
  <si>
    <t>Post W8</t>
  </si>
  <si>
    <t>Post-intervention observation</t>
  </si>
  <si>
    <t>Phase 0 — Optional Reflection Note</t>
  </si>
  <si>
    <t>Week 1 — Optional Reflection Note</t>
  </si>
  <si>
    <t>Week 2 — Optional Reflection Note</t>
  </si>
  <si>
    <t>Social Return on Investment (SROI) — Illustrative Calculator</t>
  </si>
  <si>
    <t>All proxy values are illustrative estimates. State assumptions explicitly in the evaluation report.</t>
  </si>
  <si>
    <t>Item</t>
  </si>
  <si>
    <t>Value</t>
  </si>
  <si>
    <t>Proxy (AUD)</t>
  </si>
  <si>
    <t>Social Value (AUD)</t>
  </si>
  <si>
    <t>INPUTS (Project Cost)</t>
  </si>
  <si>
    <t>Total material budget (AUD)</t>
  </si>
  <si>
    <t>From Section 6 Budget</t>
  </si>
  <si>
    <t>Project lead hours</t>
  </si>
  <si>
    <t>35 hrs @ $25/hr volunteer rate</t>
  </si>
  <si>
    <t>Total Investment</t>
  </si>
  <si>
    <t>OUTPUTS &amp; SOCIAL VALUE</t>
  </si>
  <si>
    <t>Engagement events (Pause + Dwell passes)</t>
  </si>
  <si>
    <t>Proxy: $30/meaningful social interaction (Fancourt &amp; Finn, 2019)</t>
  </si>
  <si>
    <t>Happiness index bars drawn</t>
  </si>
  <si>
    <t>Proxy: $15 per unit happiness increase (0–10 scale per participant)</t>
  </si>
  <si>
    <t>QR code scans (WordPress analytics)</t>
  </si>
  <si>
    <t>Proxy: $5 per awareness event</t>
  </si>
  <si>
    <t>Photo archive contributions</t>
  </si>
  <si>
    <t>Proxy: $10 per creative participation event</t>
  </si>
  <si>
    <t>TOTAL SOCIAL VALUE</t>
  </si>
  <si>
    <t>SROI RATIO  (Total Social Value / Total Investment)</t>
  </si>
  <si>
    <t>Update blue cells with actual project outcomes. SROI ratio auto-calculates.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</si>
</sst>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%"/>
    <numFmt numFmtId="165" formatCode="0.0"/>
    <numFmt numFmtId="166" formatCode="\$#,##0"/>
    <numFmt numFmtId="167" formatCode="0.0\x"/>
  </numFmts>
  <fonts count="10">
    <font>
      <sz val="11.0"/>
      <color theme="1"/>
      <name val="Calibri"/>
      <scheme val="minor"/>
    </font>
    <font>
      <b/>
      <sz val="14.0"/>
      <color rgb="FF2C5F2E"/>
      <name val="Arial"/>
    </font>
    <font/>
    <font>
      <i/>
      <sz val="9.0"/>
      <color rgb="FF888888"/>
      <name val="Arial"/>
    </font>
    <font>
      <b/>
      <sz val="11.0"/>
      <color rgb="FFFFFFFF"/>
      <name val="Arial"/>
    </font>
    <font>
      <sz val="10.0"/>
      <color rgb="FF0000FF"/>
      <name val="Arial"/>
    </font>
    <font>
      <sz val="10.0"/>
      <color theme="1"/>
      <name val="Arial"/>
    </font>
    <font>
      <sz val="10.0"/>
      <color rgb="FF000000"/>
      <name val="Arial"/>
    </font>
    <font>
      <b/>
      <sz val="10.0"/>
      <color theme="1"/>
      <name val="Arial"/>
    </font>
    <font>
      <b/>
      <sz val="12.0"/>
      <color rgb="FFFFFFFF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DE7"/>
        <bgColor rgb="FFFFFDE7"/>
      </patternFill>
    </fill>
    <fill>
      <patternFill patternType="solid">
        <fgColor rgb="FF2C5F2E"/>
        <bgColor rgb="FF2C5F2E"/>
      </patternFill>
    </fill>
    <fill>
      <patternFill patternType="solid">
        <fgColor rgb="FFF5F5F5"/>
        <bgColor rgb="FFF5F5F5"/>
      </patternFill>
    </fill>
    <fill>
      <patternFill patternType="solid">
        <fgColor rgb="FFEAF4EA"/>
        <bgColor rgb="FFEAF4EA"/>
      </patternFill>
    </fill>
    <fill>
      <patternFill patternType="solid">
        <fgColor rgb="FF4A4A4A"/>
        <bgColor rgb="FF4A4A4A"/>
      </patternFill>
    </fill>
    <fill>
      <patternFill patternType="solid">
        <fgColor rgb="FF1B6B6B"/>
        <bgColor rgb="FF1B6B6B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medium">
        <color rgb="FFCCCCCC"/>
      </bottom>
    </border>
    <border>
      <top style="thin">
        <color rgb="FFCCCCCC"/>
      </top>
      <bottom style="medium">
        <color rgb="FFCCCCCC"/>
      </bottom>
    </border>
    <border>
      <right style="thin">
        <color rgb="FFCCCCCC"/>
      </right>
      <top style="thin">
        <color rgb="FFCCCCCC"/>
      </top>
      <bottom style="medium">
        <color rgb="FFCCCCCC"/>
      </bottom>
    </border>
    <border>
      <right/>
      <top style="thin">
        <color rgb="FFCCCCCC"/>
      </top>
      <bottom style="medium">
        <color rgb="FFCCCCCC"/>
      </bottom>
    </border>
    <border>
      <left style="medium">
        <color rgb="FF2C5F2E"/>
      </left>
      <right style="medium">
        <color rgb="FF2C5F2E"/>
      </right>
      <top style="medium">
        <color rgb="FF2C5F2E"/>
      </top>
      <bottom style="medium">
        <color rgb="FF2C5F2E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top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shrinkToFit="0" vertical="top" wrapText="1"/>
    </xf>
    <xf borderId="4" fillId="4" fontId="4" numFmtId="0" xfId="0" applyAlignment="1" applyBorder="1" applyFill="1" applyFont="1">
      <alignment horizontal="center" shrinkToFit="0" vertical="center" wrapText="1"/>
    </xf>
    <xf borderId="5" fillId="2" fontId="5" numFmtId="0" xfId="0" applyAlignment="1" applyBorder="1" applyFont="1">
      <alignment horizontal="left" shrinkToFit="0" vertical="top" wrapText="1"/>
    </xf>
    <xf borderId="5" fillId="5" fontId="6" numFmtId="0" xfId="0" applyAlignment="1" applyBorder="1" applyFill="1" applyFont="1">
      <alignment shrinkToFit="0" vertical="top" wrapText="1"/>
    </xf>
    <xf borderId="5" fillId="2" fontId="5" numFmtId="3" xfId="0" applyAlignment="1" applyBorder="1" applyFont="1" applyNumberFormat="1">
      <alignment horizontal="left" shrinkToFit="0" vertical="top" wrapText="1"/>
    </xf>
    <xf borderId="5" fillId="6" fontId="7" numFmtId="3" xfId="0" applyAlignment="1" applyBorder="1" applyFill="1" applyFont="1" applyNumberFormat="1">
      <alignment horizontal="center" shrinkToFit="0" vertical="center" wrapText="0"/>
    </xf>
    <xf borderId="1" fillId="7" fontId="4" numFmtId="0" xfId="0" applyAlignment="1" applyBorder="1" applyFill="1" applyFont="1">
      <alignment horizontal="center" shrinkToFit="0" vertical="center" wrapText="0"/>
    </xf>
    <xf borderId="4" fillId="8" fontId="4" numFmtId="0" xfId="0" applyAlignment="1" applyBorder="1" applyFill="1" applyFont="1">
      <alignment horizontal="center" shrinkToFit="0" vertical="center" wrapText="1"/>
    </xf>
    <xf borderId="5" fillId="5" fontId="8" numFmtId="0" xfId="0" applyAlignment="1" applyBorder="1" applyFont="1">
      <alignment shrinkToFit="0" vertical="top" wrapText="1"/>
    </xf>
    <xf borderId="5" fillId="2" fontId="6" numFmtId="0" xfId="0" applyAlignment="1" applyBorder="1" applyFont="1">
      <alignment shrinkToFit="0" vertical="top" wrapText="1"/>
    </xf>
    <xf borderId="5" fillId="6" fontId="7" numFmtId="164" xfId="0" applyAlignment="1" applyBorder="1" applyFont="1" applyNumberFormat="1">
      <alignment horizontal="center" shrinkToFit="0" vertical="center" wrapText="0"/>
    </xf>
    <xf borderId="5" fillId="2" fontId="5" numFmtId="165" xfId="0" applyAlignment="1" applyBorder="1" applyFont="1" applyNumberFormat="1">
      <alignment horizontal="left" shrinkToFit="0" vertical="top" wrapText="1"/>
    </xf>
    <xf borderId="5" fillId="6" fontId="7" numFmtId="165" xfId="0" applyAlignment="1" applyBorder="1" applyFont="1" applyNumberFormat="1">
      <alignment horizontal="center" shrinkToFit="0" vertical="center" wrapText="0"/>
    </xf>
    <xf borderId="5" fillId="6" fontId="7" numFmtId="9" xfId="0" applyAlignment="1" applyBorder="1" applyFont="1" applyNumberFormat="1">
      <alignment horizontal="center" shrinkToFit="0" vertical="center" wrapText="0"/>
    </xf>
    <xf borderId="5" fillId="2" fontId="5" numFmtId="9" xfId="0" applyAlignment="1" applyBorder="1" applyFont="1" applyNumberFormat="1">
      <alignment horizontal="left" shrinkToFit="0" vertical="top" wrapText="1"/>
    </xf>
    <xf borderId="5" fillId="5" fontId="3" numFmtId="165" xfId="0" applyAlignment="1" applyBorder="1" applyFont="1" applyNumberFormat="1">
      <alignment horizontal="center" shrinkToFit="0" vertical="center" wrapText="0"/>
    </xf>
    <xf borderId="5" fillId="5" fontId="3" numFmtId="3" xfId="0" applyAlignment="1" applyBorder="1" applyFont="1" applyNumberFormat="1">
      <alignment horizontal="center" shrinkToFit="0" vertical="center" wrapText="0"/>
    </xf>
    <xf borderId="1" fillId="7" fontId="8" numFmtId="0" xfId="0" applyAlignment="1" applyBorder="1" applyFont="1">
      <alignment horizontal="left" shrinkToFit="0" vertical="top" wrapText="1"/>
    </xf>
    <xf borderId="6" fillId="7" fontId="8" numFmtId="0" xfId="0" applyAlignment="1" applyBorder="1" applyFont="1">
      <alignment horizontal="left" shrinkToFit="0" vertical="top" wrapText="1"/>
    </xf>
    <xf borderId="7" fillId="0" fontId="2" numFmtId="0" xfId="0" applyBorder="1" applyFont="1"/>
    <xf borderId="8" fillId="0" fontId="2" numFmtId="0" xfId="0" applyBorder="1" applyFont="1"/>
    <xf borderId="6" fillId="8" fontId="8" numFmtId="0" xfId="0" applyAlignment="1" applyBorder="1" applyFont="1">
      <alignment horizontal="left" shrinkToFit="0" vertical="top" wrapText="1"/>
    </xf>
    <xf borderId="6" fillId="2" fontId="5" numFmtId="0" xfId="0" applyAlignment="1" applyBorder="1" applyFont="1">
      <alignment shrinkToFit="0" vertical="top" wrapText="1"/>
    </xf>
    <xf borderId="9" fillId="0" fontId="2" numFmtId="0" xfId="0" applyBorder="1" applyFont="1"/>
    <xf borderId="1" fillId="7" fontId="4" numFmtId="0" xfId="0" applyAlignment="1" applyBorder="1" applyFont="1">
      <alignment horizontal="left" shrinkToFit="0" vertical="top" wrapText="1"/>
    </xf>
    <xf borderId="5" fillId="2" fontId="5" numFmtId="3" xfId="0" applyAlignment="1" applyBorder="1" applyFont="1" applyNumberFormat="1">
      <alignment horizontal="center" shrinkToFit="0" vertical="center" wrapText="0"/>
    </xf>
    <xf borderId="5" fillId="6" fontId="7" numFmtId="166" xfId="0" applyAlignment="1" applyBorder="1" applyFont="1" applyNumberFormat="1">
      <alignment horizontal="center" shrinkToFit="0" vertical="center" wrapText="0"/>
    </xf>
    <xf borderId="5" fillId="2" fontId="3" numFmtId="0" xfId="0" applyAlignment="1" applyBorder="1" applyFont="1">
      <alignment shrinkToFit="0" vertical="top" wrapText="1"/>
    </xf>
    <xf borderId="5" fillId="2" fontId="7" numFmtId="3" xfId="0" applyAlignment="1" applyBorder="1" applyFont="1" applyNumberFormat="1">
      <alignment horizontal="center" shrinkToFit="0" vertical="center" wrapText="0"/>
    </xf>
    <xf borderId="1" fillId="8" fontId="4" numFmtId="0" xfId="0" applyAlignment="1" applyBorder="1" applyFont="1">
      <alignment horizontal="left" shrinkToFit="0" vertical="top" wrapText="1"/>
    </xf>
    <xf borderId="5" fillId="6" fontId="8" numFmtId="0" xfId="0" applyAlignment="1" applyBorder="1" applyFont="1">
      <alignment shrinkToFit="0" vertical="top" wrapText="1"/>
    </xf>
    <xf borderId="1" fillId="4" fontId="4" numFmtId="0" xfId="0" applyAlignment="1" applyBorder="1" applyFont="1">
      <alignment horizontal="center" shrinkToFit="0" vertical="center" wrapText="0"/>
    </xf>
    <xf borderId="10" fillId="4" fontId="9" numFmtId="167" xfId="0" applyAlignment="1" applyBorder="1" applyFont="1" applyNumberFormat="1">
      <alignment horizontal="center" shrinkToFit="0" vertical="center" wrapText="0"/>
    </xf>
    <xf borderId="5" fillId="3" fontId="3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14.0"/>
    <col customWidth="1" min="3" max="4" width="10.0"/>
    <col customWidth="1" min="5" max="5" width="12.0"/>
    <col customWidth="1" min="6" max="8" width="10.0"/>
    <col customWidth="1" min="9" max="9" width="13.0"/>
    <col customWidth="1" min="10" max="10" width="24.0"/>
    <col customWidth="1" min="11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ht="15.75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3"/>
    </row>
    <row r="3" ht="6.0" customHeight="1"/>
    <row r="4" ht="36.0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</row>
    <row r="5" ht="18.0" customHeight="1">
      <c r="A5" s="6"/>
      <c r="B5" s="7" t="s">
        <v>12</v>
      </c>
      <c r="C5" s="6"/>
      <c r="D5" s="6"/>
      <c r="E5" s="8">
        <v>0.0</v>
      </c>
      <c r="F5" s="8">
        <v>0.0</v>
      </c>
      <c r="G5" s="8">
        <v>0.0</v>
      </c>
      <c r="H5" s="8">
        <v>0.0</v>
      </c>
      <c r="I5" s="9" t="str">
        <f t="shared" ref="I5:I74" si="1">IF(F5+G5+H5&gt;0,IFERROR((G5*75+H5*180)/(G5+H5),"-"),"-")</f>
        <v>-</v>
      </c>
      <c r="J5" s="6"/>
    </row>
    <row r="6" ht="18.0" customHeight="1">
      <c r="A6" s="6"/>
      <c r="B6" s="7" t="s">
        <v>12</v>
      </c>
      <c r="C6" s="6"/>
      <c r="D6" s="6"/>
      <c r="E6" s="8">
        <v>0.0</v>
      </c>
      <c r="F6" s="8">
        <v>0.0</v>
      </c>
      <c r="G6" s="8">
        <v>0.0</v>
      </c>
      <c r="H6" s="8">
        <v>0.0</v>
      </c>
      <c r="I6" s="9" t="str">
        <f t="shared" si="1"/>
        <v>-</v>
      </c>
      <c r="J6" s="6"/>
    </row>
    <row r="7" ht="18.0" customHeight="1">
      <c r="A7" s="6"/>
      <c r="B7" s="7" t="s">
        <v>12</v>
      </c>
      <c r="C7" s="6"/>
      <c r="D7" s="6"/>
      <c r="E7" s="8">
        <v>0.0</v>
      </c>
      <c r="F7" s="8">
        <v>0.0</v>
      </c>
      <c r="G7" s="8">
        <v>0.0</v>
      </c>
      <c r="H7" s="8">
        <v>0.0</v>
      </c>
      <c r="I7" s="9" t="str">
        <f t="shared" si="1"/>
        <v>-</v>
      </c>
      <c r="J7" s="6"/>
    </row>
    <row r="8" ht="18.0" customHeight="1">
      <c r="A8" s="6"/>
      <c r="B8" s="7" t="s">
        <v>12</v>
      </c>
      <c r="C8" s="6"/>
      <c r="D8" s="6"/>
      <c r="E8" s="8">
        <v>0.0</v>
      </c>
      <c r="F8" s="8">
        <v>0.0</v>
      </c>
      <c r="G8" s="8">
        <v>0.0</v>
      </c>
      <c r="H8" s="8">
        <v>0.0</v>
      </c>
      <c r="I8" s="9" t="str">
        <f t="shared" si="1"/>
        <v>-</v>
      </c>
      <c r="J8" s="6"/>
    </row>
    <row r="9" ht="18.0" customHeight="1">
      <c r="A9" s="6"/>
      <c r="B9" s="7" t="s">
        <v>12</v>
      </c>
      <c r="C9" s="6"/>
      <c r="D9" s="6"/>
      <c r="E9" s="8">
        <v>0.0</v>
      </c>
      <c r="F9" s="8">
        <v>0.0</v>
      </c>
      <c r="G9" s="8">
        <v>0.0</v>
      </c>
      <c r="H9" s="8">
        <v>0.0</v>
      </c>
      <c r="I9" s="9" t="str">
        <f t="shared" si="1"/>
        <v>-</v>
      </c>
      <c r="J9" s="6"/>
    </row>
    <row r="10" ht="18.0" customHeight="1">
      <c r="A10" s="6"/>
      <c r="B10" s="7" t="s">
        <v>12</v>
      </c>
      <c r="C10" s="6"/>
      <c r="D10" s="6"/>
      <c r="E10" s="8">
        <v>0.0</v>
      </c>
      <c r="F10" s="8">
        <v>0.0</v>
      </c>
      <c r="G10" s="8">
        <v>0.0</v>
      </c>
      <c r="H10" s="8">
        <v>0.0</v>
      </c>
      <c r="I10" s="9" t="str">
        <f t="shared" si="1"/>
        <v>-</v>
      </c>
      <c r="J10" s="6"/>
    </row>
    <row r="11" ht="18.0" customHeight="1">
      <c r="A11" s="6"/>
      <c r="B11" s="7" t="s">
        <v>12</v>
      </c>
      <c r="C11" s="6"/>
      <c r="D11" s="6"/>
      <c r="E11" s="8">
        <v>0.0</v>
      </c>
      <c r="F11" s="8">
        <v>0.0</v>
      </c>
      <c r="G11" s="8">
        <v>0.0</v>
      </c>
      <c r="H11" s="8">
        <v>0.0</v>
      </c>
      <c r="I11" s="9" t="str">
        <f t="shared" si="1"/>
        <v>-</v>
      </c>
      <c r="J11" s="6"/>
    </row>
    <row r="12" ht="18.0" customHeight="1">
      <c r="A12" s="6"/>
      <c r="B12" s="7" t="s">
        <v>12</v>
      </c>
      <c r="C12" s="6"/>
      <c r="D12" s="6"/>
      <c r="E12" s="8">
        <v>0.0</v>
      </c>
      <c r="F12" s="8">
        <v>0.0</v>
      </c>
      <c r="G12" s="8">
        <v>0.0</v>
      </c>
      <c r="H12" s="8">
        <v>0.0</v>
      </c>
      <c r="I12" s="9" t="str">
        <f t="shared" si="1"/>
        <v>-</v>
      </c>
      <c r="J12" s="6"/>
    </row>
    <row r="13" ht="18.0" customHeight="1">
      <c r="A13" s="6"/>
      <c r="B13" s="7" t="s">
        <v>12</v>
      </c>
      <c r="C13" s="6"/>
      <c r="D13" s="6"/>
      <c r="E13" s="8">
        <v>0.0</v>
      </c>
      <c r="F13" s="8">
        <v>0.0</v>
      </c>
      <c r="G13" s="8">
        <v>0.0</v>
      </c>
      <c r="H13" s="8">
        <v>0.0</v>
      </c>
      <c r="I13" s="9" t="str">
        <f t="shared" si="1"/>
        <v>-</v>
      </c>
      <c r="J13" s="6"/>
    </row>
    <row r="14" ht="18.0" customHeight="1">
      <c r="A14" s="6"/>
      <c r="B14" s="7" t="s">
        <v>12</v>
      </c>
      <c r="C14" s="6"/>
      <c r="D14" s="6"/>
      <c r="E14" s="8">
        <v>0.0</v>
      </c>
      <c r="F14" s="8">
        <v>0.0</v>
      </c>
      <c r="G14" s="8">
        <v>0.0</v>
      </c>
      <c r="H14" s="8">
        <v>0.0</v>
      </c>
      <c r="I14" s="9" t="str">
        <f t="shared" si="1"/>
        <v>-</v>
      </c>
      <c r="J14" s="6"/>
    </row>
    <row r="15" ht="18.0" customHeight="1">
      <c r="A15" s="6"/>
      <c r="B15" s="7" t="s">
        <v>12</v>
      </c>
      <c r="C15" s="6"/>
      <c r="D15" s="6"/>
      <c r="E15" s="8">
        <v>0.0</v>
      </c>
      <c r="F15" s="8">
        <v>0.0</v>
      </c>
      <c r="G15" s="8">
        <v>0.0</v>
      </c>
      <c r="H15" s="8">
        <v>0.0</v>
      </c>
      <c r="I15" s="9" t="str">
        <f t="shared" si="1"/>
        <v>-</v>
      </c>
      <c r="J15" s="6"/>
    </row>
    <row r="16" ht="18.0" customHeight="1">
      <c r="A16" s="6"/>
      <c r="B16" s="7" t="s">
        <v>12</v>
      </c>
      <c r="C16" s="6"/>
      <c r="D16" s="6"/>
      <c r="E16" s="8">
        <v>0.0</v>
      </c>
      <c r="F16" s="8">
        <v>0.0</v>
      </c>
      <c r="G16" s="8">
        <v>0.0</v>
      </c>
      <c r="H16" s="8">
        <v>0.0</v>
      </c>
      <c r="I16" s="9" t="str">
        <f t="shared" si="1"/>
        <v>-</v>
      </c>
      <c r="J16" s="6"/>
    </row>
    <row r="17" ht="18.0" customHeight="1">
      <c r="A17" s="6"/>
      <c r="B17" s="7" t="s">
        <v>12</v>
      </c>
      <c r="C17" s="6"/>
      <c r="D17" s="6"/>
      <c r="E17" s="8">
        <v>0.0</v>
      </c>
      <c r="F17" s="8">
        <v>0.0</v>
      </c>
      <c r="G17" s="8">
        <v>0.0</v>
      </c>
      <c r="H17" s="8">
        <v>0.0</v>
      </c>
      <c r="I17" s="9" t="str">
        <f t="shared" si="1"/>
        <v>-</v>
      </c>
      <c r="J17" s="6"/>
    </row>
    <row r="18" ht="18.0" customHeight="1">
      <c r="A18" s="6"/>
      <c r="B18" s="7" t="s">
        <v>12</v>
      </c>
      <c r="C18" s="6"/>
      <c r="D18" s="6"/>
      <c r="E18" s="8">
        <v>0.0</v>
      </c>
      <c r="F18" s="8">
        <v>0.0</v>
      </c>
      <c r="G18" s="8">
        <v>0.0</v>
      </c>
      <c r="H18" s="8">
        <v>0.0</v>
      </c>
      <c r="I18" s="9" t="str">
        <f t="shared" si="1"/>
        <v>-</v>
      </c>
      <c r="J18" s="6"/>
    </row>
    <row r="19" ht="18.0" customHeight="1">
      <c r="A19" s="6"/>
      <c r="B19" s="7" t="s">
        <v>13</v>
      </c>
      <c r="C19" s="6"/>
      <c r="D19" s="6"/>
      <c r="E19" s="8">
        <v>0.0</v>
      </c>
      <c r="F19" s="8">
        <v>0.0</v>
      </c>
      <c r="G19" s="8">
        <v>0.0</v>
      </c>
      <c r="H19" s="8">
        <v>0.0</v>
      </c>
      <c r="I19" s="9" t="str">
        <f t="shared" si="1"/>
        <v>-</v>
      </c>
      <c r="J19" s="6"/>
    </row>
    <row r="20" ht="18.0" customHeight="1">
      <c r="A20" s="6"/>
      <c r="B20" s="7" t="s">
        <v>13</v>
      </c>
      <c r="C20" s="6"/>
      <c r="D20" s="6"/>
      <c r="E20" s="8">
        <v>0.0</v>
      </c>
      <c r="F20" s="8">
        <v>0.0</v>
      </c>
      <c r="G20" s="8">
        <v>0.0</v>
      </c>
      <c r="H20" s="8">
        <v>0.0</v>
      </c>
      <c r="I20" s="9" t="str">
        <f t="shared" si="1"/>
        <v>-</v>
      </c>
      <c r="J20" s="6"/>
    </row>
    <row r="21" ht="18.0" customHeight="1">
      <c r="A21" s="6"/>
      <c r="B21" s="7" t="s">
        <v>13</v>
      </c>
      <c r="C21" s="6"/>
      <c r="D21" s="6"/>
      <c r="E21" s="8">
        <v>0.0</v>
      </c>
      <c r="F21" s="8">
        <v>0.0</v>
      </c>
      <c r="G21" s="8">
        <v>0.0</v>
      </c>
      <c r="H21" s="8">
        <v>0.0</v>
      </c>
      <c r="I21" s="9" t="str">
        <f t="shared" si="1"/>
        <v>-</v>
      </c>
      <c r="J21" s="6"/>
    </row>
    <row r="22" ht="18.0" customHeight="1">
      <c r="A22" s="6"/>
      <c r="B22" s="7" t="s">
        <v>13</v>
      </c>
      <c r="C22" s="6"/>
      <c r="D22" s="6"/>
      <c r="E22" s="8">
        <v>0.0</v>
      </c>
      <c r="F22" s="8">
        <v>0.0</v>
      </c>
      <c r="G22" s="8">
        <v>0.0</v>
      </c>
      <c r="H22" s="8">
        <v>0.0</v>
      </c>
      <c r="I22" s="9" t="str">
        <f t="shared" si="1"/>
        <v>-</v>
      </c>
      <c r="J22" s="6"/>
    </row>
    <row r="23" ht="18.0" customHeight="1">
      <c r="A23" s="6"/>
      <c r="B23" s="7" t="s">
        <v>13</v>
      </c>
      <c r="C23" s="6"/>
      <c r="D23" s="6"/>
      <c r="E23" s="8">
        <v>0.0</v>
      </c>
      <c r="F23" s="8">
        <v>0.0</v>
      </c>
      <c r="G23" s="8">
        <v>0.0</v>
      </c>
      <c r="H23" s="8">
        <v>0.0</v>
      </c>
      <c r="I23" s="9" t="str">
        <f t="shared" si="1"/>
        <v>-</v>
      </c>
      <c r="J23" s="6"/>
    </row>
    <row r="24" ht="18.0" customHeight="1">
      <c r="A24" s="6"/>
      <c r="B24" s="7" t="s">
        <v>13</v>
      </c>
      <c r="C24" s="6"/>
      <c r="D24" s="6"/>
      <c r="E24" s="8">
        <v>0.0</v>
      </c>
      <c r="F24" s="8">
        <v>0.0</v>
      </c>
      <c r="G24" s="8">
        <v>0.0</v>
      </c>
      <c r="H24" s="8">
        <v>0.0</v>
      </c>
      <c r="I24" s="9" t="str">
        <f t="shared" si="1"/>
        <v>-</v>
      </c>
      <c r="J24" s="6"/>
    </row>
    <row r="25" ht="18.0" customHeight="1">
      <c r="A25" s="6"/>
      <c r="B25" s="7" t="s">
        <v>13</v>
      </c>
      <c r="C25" s="6"/>
      <c r="D25" s="6"/>
      <c r="E25" s="8">
        <v>0.0</v>
      </c>
      <c r="F25" s="8">
        <v>0.0</v>
      </c>
      <c r="G25" s="8">
        <v>0.0</v>
      </c>
      <c r="H25" s="8">
        <v>0.0</v>
      </c>
      <c r="I25" s="9" t="str">
        <f t="shared" si="1"/>
        <v>-</v>
      </c>
      <c r="J25" s="6"/>
    </row>
    <row r="26" ht="18.0" customHeight="1">
      <c r="A26" s="6"/>
      <c r="B26" s="7" t="s">
        <v>14</v>
      </c>
      <c r="C26" s="6"/>
      <c r="D26" s="6"/>
      <c r="E26" s="8">
        <v>0.0</v>
      </c>
      <c r="F26" s="8">
        <v>0.0</v>
      </c>
      <c r="G26" s="8">
        <v>0.0</v>
      </c>
      <c r="H26" s="8">
        <v>0.0</v>
      </c>
      <c r="I26" s="9" t="str">
        <f t="shared" si="1"/>
        <v>-</v>
      </c>
      <c r="J26" s="6"/>
    </row>
    <row r="27" ht="18.0" customHeight="1">
      <c r="A27" s="6"/>
      <c r="B27" s="7" t="s">
        <v>14</v>
      </c>
      <c r="C27" s="6"/>
      <c r="D27" s="6"/>
      <c r="E27" s="8">
        <v>0.0</v>
      </c>
      <c r="F27" s="8">
        <v>0.0</v>
      </c>
      <c r="G27" s="8">
        <v>0.0</v>
      </c>
      <c r="H27" s="8">
        <v>0.0</v>
      </c>
      <c r="I27" s="9" t="str">
        <f t="shared" si="1"/>
        <v>-</v>
      </c>
      <c r="J27" s="6"/>
    </row>
    <row r="28" ht="18.0" customHeight="1">
      <c r="A28" s="6"/>
      <c r="B28" s="7" t="s">
        <v>14</v>
      </c>
      <c r="C28" s="6"/>
      <c r="D28" s="6"/>
      <c r="E28" s="8">
        <v>0.0</v>
      </c>
      <c r="F28" s="8">
        <v>0.0</v>
      </c>
      <c r="G28" s="8">
        <v>0.0</v>
      </c>
      <c r="H28" s="8">
        <v>0.0</v>
      </c>
      <c r="I28" s="9" t="str">
        <f t="shared" si="1"/>
        <v>-</v>
      </c>
      <c r="J28" s="6"/>
    </row>
    <row r="29" ht="18.0" customHeight="1">
      <c r="A29" s="6"/>
      <c r="B29" s="7" t="s">
        <v>14</v>
      </c>
      <c r="C29" s="6"/>
      <c r="D29" s="6"/>
      <c r="E29" s="8">
        <v>0.0</v>
      </c>
      <c r="F29" s="8">
        <v>0.0</v>
      </c>
      <c r="G29" s="8">
        <v>0.0</v>
      </c>
      <c r="H29" s="8">
        <v>0.0</v>
      </c>
      <c r="I29" s="9" t="str">
        <f t="shared" si="1"/>
        <v>-</v>
      </c>
      <c r="J29" s="6"/>
    </row>
    <row r="30" ht="18.0" customHeight="1">
      <c r="A30" s="6"/>
      <c r="B30" s="7" t="s">
        <v>14</v>
      </c>
      <c r="C30" s="6"/>
      <c r="D30" s="6"/>
      <c r="E30" s="8">
        <v>0.0</v>
      </c>
      <c r="F30" s="8">
        <v>0.0</v>
      </c>
      <c r="G30" s="8">
        <v>0.0</v>
      </c>
      <c r="H30" s="8">
        <v>0.0</v>
      </c>
      <c r="I30" s="9" t="str">
        <f t="shared" si="1"/>
        <v>-</v>
      </c>
      <c r="J30" s="6"/>
    </row>
    <row r="31" ht="18.0" customHeight="1">
      <c r="A31" s="6"/>
      <c r="B31" s="7" t="s">
        <v>14</v>
      </c>
      <c r="C31" s="6"/>
      <c r="D31" s="6"/>
      <c r="E31" s="8">
        <v>0.0</v>
      </c>
      <c r="F31" s="8">
        <v>0.0</v>
      </c>
      <c r="G31" s="8">
        <v>0.0</v>
      </c>
      <c r="H31" s="8">
        <v>0.0</v>
      </c>
      <c r="I31" s="9" t="str">
        <f t="shared" si="1"/>
        <v>-</v>
      </c>
      <c r="J31" s="6"/>
    </row>
    <row r="32" ht="18.0" customHeight="1">
      <c r="A32" s="6"/>
      <c r="B32" s="7" t="s">
        <v>14</v>
      </c>
      <c r="C32" s="6"/>
      <c r="D32" s="6"/>
      <c r="E32" s="8">
        <v>0.0</v>
      </c>
      <c r="F32" s="8">
        <v>0.0</v>
      </c>
      <c r="G32" s="8">
        <v>0.0</v>
      </c>
      <c r="H32" s="8">
        <v>0.0</v>
      </c>
      <c r="I32" s="9" t="str">
        <f t="shared" si="1"/>
        <v>-</v>
      </c>
      <c r="J32" s="6"/>
    </row>
    <row r="33" ht="18.0" customHeight="1">
      <c r="A33" s="6"/>
      <c r="B33" s="7" t="s">
        <v>15</v>
      </c>
      <c r="C33" s="6"/>
      <c r="D33" s="6"/>
      <c r="E33" s="8">
        <v>0.0</v>
      </c>
      <c r="F33" s="8">
        <v>0.0</v>
      </c>
      <c r="G33" s="8">
        <v>0.0</v>
      </c>
      <c r="H33" s="8">
        <v>0.0</v>
      </c>
      <c r="I33" s="9" t="str">
        <f t="shared" si="1"/>
        <v>-</v>
      </c>
      <c r="J33" s="6"/>
    </row>
    <row r="34" ht="18.0" customHeight="1">
      <c r="A34" s="6"/>
      <c r="B34" s="7" t="s">
        <v>15</v>
      </c>
      <c r="C34" s="6"/>
      <c r="D34" s="6"/>
      <c r="E34" s="8">
        <v>0.0</v>
      </c>
      <c r="F34" s="8">
        <v>0.0</v>
      </c>
      <c r="G34" s="8">
        <v>0.0</v>
      </c>
      <c r="H34" s="8">
        <v>0.0</v>
      </c>
      <c r="I34" s="9" t="str">
        <f t="shared" si="1"/>
        <v>-</v>
      </c>
      <c r="J34" s="6"/>
    </row>
    <row r="35" ht="18.0" customHeight="1">
      <c r="A35" s="6"/>
      <c r="B35" s="7" t="s">
        <v>15</v>
      </c>
      <c r="C35" s="6"/>
      <c r="D35" s="6"/>
      <c r="E35" s="8">
        <v>0.0</v>
      </c>
      <c r="F35" s="8">
        <v>0.0</v>
      </c>
      <c r="G35" s="8">
        <v>0.0</v>
      </c>
      <c r="H35" s="8">
        <v>0.0</v>
      </c>
      <c r="I35" s="9" t="str">
        <f t="shared" si="1"/>
        <v>-</v>
      </c>
      <c r="J35" s="6"/>
    </row>
    <row r="36" ht="18.0" customHeight="1">
      <c r="A36" s="6"/>
      <c r="B36" s="7" t="s">
        <v>15</v>
      </c>
      <c r="C36" s="6"/>
      <c r="D36" s="6"/>
      <c r="E36" s="8">
        <v>0.0</v>
      </c>
      <c r="F36" s="8">
        <v>0.0</v>
      </c>
      <c r="G36" s="8">
        <v>0.0</v>
      </c>
      <c r="H36" s="8">
        <v>0.0</v>
      </c>
      <c r="I36" s="9" t="str">
        <f t="shared" si="1"/>
        <v>-</v>
      </c>
      <c r="J36" s="6"/>
    </row>
    <row r="37" ht="18.0" customHeight="1">
      <c r="A37" s="6"/>
      <c r="B37" s="7" t="s">
        <v>15</v>
      </c>
      <c r="C37" s="6"/>
      <c r="D37" s="6"/>
      <c r="E37" s="8">
        <v>0.0</v>
      </c>
      <c r="F37" s="8">
        <v>0.0</v>
      </c>
      <c r="G37" s="8">
        <v>0.0</v>
      </c>
      <c r="H37" s="8">
        <v>0.0</v>
      </c>
      <c r="I37" s="9" t="str">
        <f t="shared" si="1"/>
        <v>-</v>
      </c>
      <c r="J37" s="6"/>
    </row>
    <row r="38" ht="18.0" customHeight="1">
      <c r="A38" s="6"/>
      <c r="B38" s="7" t="s">
        <v>15</v>
      </c>
      <c r="C38" s="6"/>
      <c r="D38" s="6"/>
      <c r="E38" s="8">
        <v>0.0</v>
      </c>
      <c r="F38" s="8">
        <v>0.0</v>
      </c>
      <c r="G38" s="8">
        <v>0.0</v>
      </c>
      <c r="H38" s="8">
        <v>0.0</v>
      </c>
      <c r="I38" s="9" t="str">
        <f t="shared" si="1"/>
        <v>-</v>
      </c>
      <c r="J38" s="6"/>
    </row>
    <row r="39" ht="18.0" customHeight="1">
      <c r="A39" s="6"/>
      <c r="B39" s="7" t="s">
        <v>15</v>
      </c>
      <c r="C39" s="6"/>
      <c r="D39" s="6"/>
      <c r="E39" s="8">
        <v>0.0</v>
      </c>
      <c r="F39" s="8">
        <v>0.0</v>
      </c>
      <c r="G39" s="8">
        <v>0.0</v>
      </c>
      <c r="H39" s="8">
        <v>0.0</v>
      </c>
      <c r="I39" s="9" t="str">
        <f t="shared" si="1"/>
        <v>-</v>
      </c>
      <c r="J39" s="6"/>
    </row>
    <row r="40" ht="18.0" customHeight="1">
      <c r="A40" s="6"/>
      <c r="B40" s="7" t="s">
        <v>16</v>
      </c>
      <c r="C40" s="6"/>
      <c r="D40" s="6"/>
      <c r="E40" s="8">
        <v>0.0</v>
      </c>
      <c r="F40" s="8">
        <v>0.0</v>
      </c>
      <c r="G40" s="8">
        <v>0.0</v>
      </c>
      <c r="H40" s="8">
        <v>0.0</v>
      </c>
      <c r="I40" s="9" t="str">
        <f t="shared" si="1"/>
        <v>-</v>
      </c>
      <c r="J40" s="6"/>
    </row>
    <row r="41" ht="18.0" customHeight="1">
      <c r="A41" s="6"/>
      <c r="B41" s="7" t="s">
        <v>16</v>
      </c>
      <c r="C41" s="6"/>
      <c r="D41" s="6"/>
      <c r="E41" s="8">
        <v>0.0</v>
      </c>
      <c r="F41" s="8">
        <v>0.0</v>
      </c>
      <c r="G41" s="8">
        <v>0.0</v>
      </c>
      <c r="H41" s="8">
        <v>0.0</v>
      </c>
      <c r="I41" s="9" t="str">
        <f t="shared" si="1"/>
        <v>-</v>
      </c>
      <c r="J41" s="6"/>
    </row>
    <row r="42" ht="18.0" customHeight="1">
      <c r="A42" s="6"/>
      <c r="B42" s="7" t="s">
        <v>16</v>
      </c>
      <c r="C42" s="6"/>
      <c r="D42" s="6"/>
      <c r="E42" s="8">
        <v>0.0</v>
      </c>
      <c r="F42" s="8">
        <v>0.0</v>
      </c>
      <c r="G42" s="8">
        <v>0.0</v>
      </c>
      <c r="H42" s="8">
        <v>0.0</v>
      </c>
      <c r="I42" s="9" t="str">
        <f t="shared" si="1"/>
        <v>-</v>
      </c>
      <c r="J42" s="6"/>
    </row>
    <row r="43" ht="18.0" customHeight="1">
      <c r="A43" s="6"/>
      <c r="B43" s="7" t="s">
        <v>16</v>
      </c>
      <c r="C43" s="6"/>
      <c r="D43" s="6"/>
      <c r="E43" s="8">
        <v>0.0</v>
      </c>
      <c r="F43" s="8">
        <v>0.0</v>
      </c>
      <c r="G43" s="8">
        <v>0.0</v>
      </c>
      <c r="H43" s="8">
        <v>0.0</v>
      </c>
      <c r="I43" s="9" t="str">
        <f t="shared" si="1"/>
        <v>-</v>
      </c>
      <c r="J43" s="6"/>
    </row>
    <row r="44" ht="18.0" customHeight="1">
      <c r="A44" s="6"/>
      <c r="B44" s="7" t="s">
        <v>16</v>
      </c>
      <c r="C44" s="6"/>
      <c r="D44" s="6"/>
      <c r="E44" s="8">
        <v>0.0</v>
      </c>
      <c r="F44" s="8">
        <v>0.0</v>
      </c>
      <c r="G44" s="8">
        <v>0.0</v>
      </c>
      <c r="H44" s="8">
        <v>0.0</v>
      </c>
      <c r="I44" s="9" t="str">
        <f t="shared" si="1"/>
        <v>-</v>
      </c>
      <c r="J44" s="6"/>
    </row>
    <row r="45" ht="18.0" customHeight="1">
      <c r="A45" s="6"/>
      <c r="B45" s="7" t="s">
        <v>16</v>
      </c>
      <c r="C45" s="6"/>
      <c r="D45" s="6"/>
      <c r="E45" s="8">
        <v>0.0</v>
      </c>
      <c r="F45" s="8">
        <v>0.0</v>
      </c>
      <c r="G45" s="8">
        <v>0.0</v>
      </c>
      <c r="H45" s="8">
        <v>0.0</v>
      </c>
      <c r="I45" s="9" t="str">
        <f t="shared" si="1"/>
        <v>-</v>
      </c>
      <c r="J45" s="6"/>
    </row>
    <row r="46" ht="18.0" customHeight="1">
      <c r="A46" s="6"/>
      <c r="B46" s="7" t="s">
        <v>16</v>
      </c>
      <c r="C46" s="6"/>
      <c r="D46" s="6"/>
      <c r="E46" s="8">
        <v>0.0</v>
      </c>
      <c r="F46" s="8">
        <v>0.0</v>
      </c>
      <c r="G46" s="8">
        <v>0.0</v>
      </c>
      <c r="H46" s="8">
        <v>0.0</v>
      </c>
      <c r="I46" s="9" t="str">
        <f t="shared" si="1"/>
        <v>-</v>
      </c>
      <c r="J46" s="6"/>
    </row>
    <row r="47" ht="18.0" customHeight="1">
      <c r="A47" s="6"/>
      <c r="B47" s="7" t="s">
        <v>17</v>
      </c>
      <c r="C47" s="6"/>
      <c r="D47" s="6"/>
      <c r="E47" s="8">
        <v>0.0</v>
      </c>
      <c r="F47" s="8">
        <v>0.0</v>
      </c>
      <c r="G47" s="8">
        <v>0.0</v>
      </c>
      <c r="H47" s="8">
        <v>0.0</v>
      </c>
      <c r="I47" s="9" t="str">
        <f t="shared" si="1"/>
        <v>-</v>
      </c>
      <c r="J47" s="6"/>
    </row>
    <row r="48" ht="18.0" customHeight="1">
      <c r="A48" s="6"/>
      <c r="B48" s="7" t="s">
        <v>17</v>
      </c>
      <c r="C48" s="6"/>
      <c r="D48" s="6"/>
      <c r="E48" s="8">
        <v>0.0</v>
      </c>
      <c r="F48" s="8">
        <v>0.0</v>
      </c>
      <c r="G48" s="8">
        <v>0.0</v>
      </c>
      <c r="H48" s="8">
        <v>0.0</v>
      </c>
      <c r="I48" s="9" t="str">
        <f t="shared" si="1"/>
        <v>-</v>
      </c>
      <c r="J48" s="6"/>
    </row>
    <row r="49" ht="18.0" customHeight="1">
      <c r="A49" s="6"/>
      <c r="B49" s="7" t="s">
        <v>17</v>
      </c>
      <c r="C49" s="6"/>
      <c r="D49" s="6"/>
      <c r="E49" s="8">
        <v>0.0</v>
      </c>
      <c r="F49" s="8">
        <v>0.0</v>
      </c>
      <c r="G49" s="8">
        <v>0.0</v>
      </c>
      <c r="H49" s="8">
        <v>0.0</v>
      </c>
      <c r="I49" s="9" t="str">
        <f t="shared" si="1"/>
        <v>-</v>
      </c>
      <c r="J49" s="6"/>
    </row>
    <row r="50" ht="18.0" customHeight="1">
      <c r="A50" s="6"/>
      <c r="B50" s="7" t="s">
        <v>17</v>
      </c>
      <c r="C50" s="6"/>
      <c r="D50" s="6"/>
      <c r="E50" s="8">
        <v>0.0</v>
      </c>
      <c r="F50" s="8">
        <v>0.0</v>
      </c>
      <c r="G50" s="8">
        <v>0.0</v>
      </c>
      <c r="H50" s="8">
        <v>0.0</v>
      </c>
      <c r="I50" s="9" t="str">
        <f t="shared" si="1"/>
        <v>-</v>
      </c>
      <c r="J50" s="6"/>
    </row>
    <row r="51" ht="18.0" customHeight="1">
      <c r="A51" s="6"/>
      <c r="B51" s="7" t="s">
        <v>17</v>
      </c>
      <c r="C51" s="6"/>
      <c r="D51" s="6"/>
      <c r="E51" s="8">
        <v>0.0</v>
      </c>
      <c r="F51" s="8">
        <v>0.0</v>
      </c>
      <c r="G51" s="8">
        <v>0.0</v>
      </c>
      <c r="H51" s="8">
        <v>0.0</v>
      </c>
      <c r="I51" s="9" t="str">
        <f t="shared" si="1"/>
        <v>-</v>
      </c>
      <c r="J51" s="6"/>
    </row>
    <row r="52" ht="18.0" customHeight="1">
      <c r="A52" s="6"/>
      <c r="B52" s="7" t="s">
        <v>17</v>
      </c>
      <c r="C52" s="6"/>
      <c r="D52" s="6"/>
      <c r="E52" s="8">
        <v>0.0</v>
      </c>
      <c r="F52" s="8">
        <v>0.0</v>
      </c>
      <c r="G52" s="8">
        <v>0.0</v>
      </c>
      <c r="H52" s="8">
        <v>0.0</v>
      </c>
      <c r="I52" s="9" t="str">
        <f t="shared" si="1"/>
        <v>-</v>
      </c>
      <c r="J52" s="6"/>
    </row>
    <row r="53" ht="18.0" customHeight="1">
      <c r="A53" s="6"/>
      <c r="B53" s="7" t="s">
        <v>17</v>
      </c>
      <c r="C53" s="6"/>
      <c r="D53" s="6"/>
      <c r="E53" s="8">
        <v>0.0</v>
      </c>
      <c r="F53" s="8">
        <v>0.0</v>
      </c>
      <c r="G53" s="8">
        <v>0.0</v>
      </c>
      <c r="H53" s="8">
        <v>0.0</v>
      </c>
      <c r="I53" s="9" t="str">
        <f t="shared" si="1"/>
        <v>-</v>
      </c>
      <c r="J53" s="6"/>
    </row>
    <row r="54" ht="18.0" customHeight="1">
      <c r="A54" s="6"/>
      <c r="B54" s="7" t="s">
        <v>18</v>
      </c>
      <c r="C54" s="6"/>
      <c r="D54" s="6"/>
      <c r="E54" s="8">
        <v>0.0</v>
      </c>
      <c r="F54" s="8">
        <v>0.0</v>
      </c>
      <c r="G54" s="8">
        <v>0.0</v>
      </c>
      <c r="H54" s="8">
        <v>0.0</v>
      </c>
      <c r="I54" s="9" t="str">
        <f t="shared" si="1"/>
        <v>-</v>
      </c>
      <c r="J54" s="6"/>
    </row>
    <row r="55" ht="18.0" customHeight="1">
      <c r="A55" s="6"/>
      <c r="B55" s="7" t="s">
        <v>18</v>
      </c>
      <c r="C55" s="6"/>
      <c r="D55" s="6"/>
      <c r="E55" s="8">
        <v>0.0</v>
      </c>
      <c r="F55" s="8">
        <v>0.0</v>
      </c>
      <c r="G55" s="8">
        <v>0.0</v>
      </c>
      <c r="H55" s="8">
        <v>0.0</v>
      </c>
      <c r="I55" s="9" t="str">
        <f t="shared" si="1"/>
        <v>-</v>
      </c>
      <c r="J55" s="6"/>
    </row>
    <row r="56" ht="18.0" customHeight="1">
      <c r="A56" s="6"/>
      <c r="B56" s="7" t="s">
        <v>18</v>
      </c>
      <c r="C56" s="6"/>
      <c r="D56" s="6"/>
      <c r="E56" s="8">
        <v>0.0</v>
      </c>
      <c r="F56" s="8">
        <v>0.0</v>
      </c>
      <c r="G56" s="8">
        <v>0.0</v>
      </c>
      <c r="H56" s="8">
        <v>0.0</v>
      </c>
      <c r="I56" s="9" t="str">
        <f t="shared" si="1"/>
        <v>-</v>
      </c>
      <c r="J56" s="6"/>
    </row>
    <row r="57" ht="18.0" customHeight="1">
      <c r="A57" s="6"/>
      <c r="B57" s="7" t="s">
        <v>18</v>
      </c>
      <c r="C57" s="6"/>
      <c r="D57" s="6"/>
      <c r="E57" s="8">
        <v>0.0</v>
      </c>
      <c r="F57" s="8">
        <v>0.0</v>
      </c>
      <c r="G57" s="8">
        <v>0.0</v>
      </c>
      <c r="H57" s="8">
        <v>0.0</v>
      </c>
      <c r="I57" s="9" t="str">
        <f t="shared" si="1"/>
        <v>-</v>
      </c>
      <c r="J57" s="6"/>
    </row>
    <row r="58" ht="18.0" customHeight="1">
      <c r="A58" s="6"/>
      <c r="B58" s="7" t="s">
        <v>18</v>
      </c>
      <c r="C58" s="6"/>
      <c r="D58" s="6"/>
      <c r="E58" s="8">
        <v>0.0</v>
      </c>
      <c r="F58" s="8">
        <v>0.0</v>
      </c>
      <c r="G58" s="8">
        <v>0.0</v>
      </c>
      <c r="H58" s="8">
        <v>0.0</v>
      </c>
      <c r="I58" s="9" t="str">
        <f t="shared" si="1"/>
        <v>-</v>
      </c>
      <c r="J58" s="6"/>
    </row>
    <row r="59" ht="18.0" customHeight="1">
      <c r="A59" s="6"/>
      <c r="B59" s="7" t="s">
        <v>18</v>
      </c>
      <c r="C59" s="6"/>
      <c r="D59" s="6"/>
      <c r="E59" s="8">
        <v>0.0</v>
      </c>
      <c r="F59" s="8">
        <v>0.0</v>
      </c>
      <c r="G59" s="8">
        <v>0.0</v>
      </c>
      <c r="H59" s="8">
        <v>0.0</v>
      </c>
      <c r="I59" s="9" t="str">
        <f t="shared" si="1"/>
        <v>-</v>
      </c>
      <c r="J59" s="6"/>
    </row>
    <row r="60" ht="18.0" customHeight="1">
      <c r="A60" s="6"/>
      <c r="B60" s="7" t="s">
        <v>18</v>
      </c>
      <c r="C60" s="6"/>
      <c r="D60" s="6"/>
      <c r="E60" s="8">
        <v>0.0</v>
      </c>
      <c r="F60" s="8">
        <v>0.0</v>
      </c>
      <c r="G60" s="8">
        <v>0.0</v>
      </c>
      <c r="H60" s="8">
        <v>0.0</v>
      </c>
      <c r="I60" s="9" t="str">
        <f t="shared" si="1"/>
        <v>-</v>
      </c>
      <c r="J60" s="6"/>
    </row>
    <row r="61" ht="18.0" customHeight="1">
      <c r="A61" s="6"/>
      <c r="B61" s="7" t="s">
        <v>19</v>
      </c>
      <c r="C61" s="6"/>
      <c r="D61" s="6"/>
      <c r="E61" s="8">
        <v>0.0</v>
      </c>
      <c r="F61" s="8">
        <v>0.0</v>
      </c>
      <c r="G61" s="8">
        <v>0.0</v>
      </c>
      <c r="H61" s="8">
        <v>0.0</v>
      </c>
      <c r="I61" s="9" t="str">
        <f t="shared" si="1"/>
        <v>-</v>
      </c>
      <c r="J61" s="6"/>
    </row>
    <row r="62" ht="18.0" customHeight="1">
      <c r="A62" s="6"/>
      <c r="B62" s="7" t="s">
        <v>19</v>
      </c>
      <c r="C62" s="6"/>
      <c r="D62" s="6"/>
      <c r="E62" s="8">
        <v>0.0</v>
      </c>
      <c r="F62" s="8">
        <v>0.0</v>
      </c>
      <c r="G62" s="8">
        <v>0.0</v>
      </c>
      <c r="H62" s="8">
        <v>0.0</v>
      </c>
      <c r="I62" s="9" t="str">
        <f t="shared" si="1"/>
        <v>-</v>
      </c>
      <c r="J62" s="6"/>
    </row>
    <row r="63" ht="18.0" customHeight="1">
      <c r="A63" s="6"/>
      <c r="B63" s="7" t="s">
        <v>19</v>
      </c>
      <c r="C63" s="6"/>
      <c r="D63" s="6"/>
      <c r="E63" s="8">
        <v>0.0</v>
      </c>
      <c r="F63" s="8">
        <v>0.0</v>
      </c>
      <c r="G63" s="8">
        <v>0.0</v>
      </c>
      <c r="H63" s="8">
        <v>0.0</v>
      </c>
      <c r="I63" s="9" t="str">
        <f t="shared" si="1"/>
        <v>-</v>
      </c>
      <c r="J63" s="6"/>
    </row>
    <row r="64" ht="18.0" customHeight="1">
      <c r="A64" s="6"/>
      <c r="B64" s="7" t="s">
        <v>19</v>
      </c>
      <c r="C64" s="6"/>
      <c r="D64" s="6"/>
      <c r="E64" s="8">
        <v>0.0</v>
      </c>
      <c r="F64" s="8">
        <v>0.0</v>
      </c>
      <c r="G64" s="8">
        <v>0.0</v>
      </c>
      <c r="H64" s="8">
        <v>0.0</v>
      </c>
      <c r="I64" s="9" t="str">
        <f t="shared" si="1"/>
        <v>-</v>
      </c>
      <c r="J64" s="6"/>
    </row>
    <row r="65" ht="18.0" customHeight="1">
      <c r="A65" s="6"/>
      <c r="B65" s="7" t="s">
        <v>19</v>
      </c>
      <c r="C65" s="6"/>
      <c r="D65" s="6"/>
      <c r="E65" s="8">
        <v>0.0</v>
      </c>
      <c r="F65" s="8">
        <v>0.0</v>
      </c>
      <c r="G65" s="8">
        <v>0.0</v>
      </c>
      <c r="H65" s="8">
        <v>0.0</v>
      </c>
      <c r="I65" s="9" t="str">
        <f t="shared" si="1"/>
        <v>-</v>
      </c>
      <c r="J65" s="6"/>
    </row>
    <row r="66" ht="18.0" customHeight="1">
      <c r="A66" s="6"/>
      <c r="B66" s="7" t="s">
        <v>19</v>
      </c>
      <c r="C66" s="6"/>
      <c r="D66" s="6"/>
      <c r="E66" s="8">
        <v>0.0</v>
      </c>
      <c r="F66" s="8">
        <v>0.0</v>
      </c>
      <c r="G66" s="8">
        <v>0.0</v>
      </c>
      <c r="H66" s="8">
        <v>0.0</v>
      </c>
      <c r="I66" s="9" t="str">
        <f t="shared" si="1"/>
        <v>-</v>
      </c>
      <c r="J66" s="6"/>
    </row>
    <row r="67" ht="18.0" customHeight="1">
      <c r="A67" s="6"/>
      <c r="B67" s="7" t="s">
        <v>19</v>
      </c>
      <c r="C67" s="6"/>
      <c r="D67" s="6"/>
      <c r="E67" s="8">
        <v>0.0</v>
      </c>
      <c r="F67" s="8">
        <v>0.0</v>
      </c>
      <c r="G67" s="8">
        <v>0.0</v>
      </c>
      <c r="H67" s="8">
        <v>0.0</v>
      </c>
      <c r="I67" s="9" t="str">
        <f t="shared" si="1"/>
        <v>-</v>
      </c>
      <c r="J67" s="6"/>
    </row>
    <row r="68" ht="18.0" customHeight="1">
      <c r="A68" s="6"/>
      <c r="B68" s="7" t="s">
        <v>20</v>
      </c>
      <c r="C68" s="6"/>
      <c r="D68" s="6"/>
      <c r="E68" s="8">
        <v>0.0</v>
      </c>
      <c r="F68" s="8">
        <v>0.0</v>
      </c>
      <c r="G68" s="8">
        <v>0.0</v>
      </c>
      <c r="H68" s="8">
        <v>0.0</v>
      </c>
      <c r="I68" s="9" t="str">
        <f t="shared" si="1"/>
        <v>-</v>
      </c>
      <c r="J68" s="6"/>
    </row>
    <row r="69" ht="18.0" customHeight="1">
      <c r="A69" s="6"/>
      <c r="B69" s="7" t="s">
        <v>20</v>
      </c>
      <c r="C69" s="6"/>
      <c r="D69" s="6"/>
      <c r="E69" s="8">
        <v>0.0</v>
      </c>
      <c r="F69" s="8">
        <v>0.0</v>
      </c>
      <c r="G69" s="8">
        <v>0.0</v>
      </c>
      <c r="H69" s="8">
        <v>0.0</v>
      </c>
      <c r="I69" s="9" t="str">
        <f t="shared" si="1"/>
        <v>-</v>
      </c>
      <c r="J69" s="6"/>
    </row>
    <row r="70" ht="18.0" customHeight="1">
      <c r="A70" s="6"/>
      <c r="B70" s="7" t="s">
        <v>20</v>
      </c>
      <c r="C70" s="6"/>
      <c r="D70" s="6"/>
      <c r="E70" s="8">
        <v>0.0</v>
      </c>
      <c r="F70" s="8">
        <v>0.0</v>
      </c>
      <c r="G70" s="8">
        <v>0.0</v>
      </c>
      <c r="H70" s="8">
        <v>0.0</v>
      </c>
      <c r="I70" s="9" t="str">
        <f t="shared" si="1"/>
        <v>-</v>
      </c>
      <c r="J70" s="6"/>
    </row>
    <row r="71" ht="18.0" customHeight="1">
      <c r="A71" s="6"/>
      <c r="B71" s="7" t="s">
        <v>20</v>
      </c>
      <c r="C71" s="6"/>
      <c r="D71" s="6"/>
      <c r="E71" s="8">
        <v>0.0</v>
      </c>
      <c r="F71" s="8">
        <v>0.0</v>
      </c>
      <c r="G71" s="8">
        <v>0.0</v>
      </c>
      <c r="H71" s="8">
        <v>0.0</v>
      </c>
      <c r="I71" s="9" t="str">
        <f t="shared" si="1"/>
        <v>-</v>
      </c>
      <c r="J71" s="6"/>
    </row>
    <row r="72" ht="18.0" customHeight="1">
      <c r="A72" s="6"/>
      <c r="B72" s="7" t="s">
        <v>20</v>
      </c>
      <c r="C72" s="6"/>
      <c r="D72" s="6"/>
      <c r="E72" s="8">
        <v>0.0</v>
      </c>
      <c r="F72" s="8">
        <v>0.0</v>
      </c>
      <c r="G72" s="8">
        <v>0.0</v>
      </c>
      <c r="H72" s="8">
        <v>0.0</v>
      </c>
      <c r="I72" s="9" t="str">
        <f t="shared" si="1"/>
        <v>-</v>
      </c>
      <c r="J72" s="6"/>
    </row>
    <row r="73" ht="18.0" customHeight="1">
      <c r="A73" s="6"/>
      <c r="B73" s="7" t="s">
        <v>20</v>
      </c>
      <c r="C73" s="6"/>
      <c r="D73" s="6"/>
      <c r="E73" s="8">
        <v>0.0</v>
      </c>
      <c r="F73" s="8">
        <v>0.0</v>
      </c>
      <c r="G73" s="8">
        <v>0.0</v>
      </c>
      <c r="H73" s="8">
        <v>0.0</v>
      </c>
      <c r="I73" s="9" t="str">
        <f t="shared" si="1"/>
        <v>-</v>
      </c>
      <c r="J73" s="6"/>
    </row>
    <row r="74" ht="18.0" customHeight="1">
      <c r="A74" s="6"/>
      <c r="B74" s="7" t="s">
        <v>20</v>
      </c>
      <c r="C74" s="6"/>
      <c r="D74" s="6"/>
      <c r="E74" s="8">
        <v>0.0</v>
      </c>
      <c r="F74" s="8">
        <v>0.0</v>
      </c>
      <c r="G74" s="8">
        <v>0.0</v>
      </c>
      <c r="H74" s="8">
        <v>0.0</v>
      </c>
      <c r="I74" s="9" t="str">
        <f t="shared" si="1"/>
        <v>-</v>
      </c>
      <c r="J74" s="6"/>
    </row>
    <row r="75" ht="15.75" customHeight="1"/>
    <row r="76" ht="6.0" customHeight="1"/>
    <row r="77" ht="19.5" customHeight="1">
      <c r="A77" s="10" t="s">
        <v>21</v>
      </c>
      <c r="B77" s="2"/>
      <c r="C77" s="2"/>
      <c r="D77" s="2"/>
      <c r="E77" s="2"/>
      <c r="F77" s="2"/>
      <c r="G77" s="2"/>
      <c r="H77" s="2"/>
      <c r="I77" s="2"/>
      <c r="J77" s="3"/>
    </row>
    <row r="78" ht="24.0" customHeight="1">
      <c r="A78" s="11" t="s">
        <v>22</v>
      </c>
      <c r="B78" s="11" t="s">
        <v>23</v>
      </c>
      <c r="C78" s="11" t="s">
        <v>24</v>
      </c>
      <c r="D78" s="11" t="s">
        <v>25</v>
      </c>
      <c r="E78" s="11" t="s">
        <v>26</v>
      </c>
      <c r="F78" s="11" t="s">
        <v>27</v>
      </c>
      <c r="G78" s="11" t="s">
        <v>28</v>
      </c>
      <c r="H78" s="11" t="s">
        <v>29</v>
      </c>
      <c r="I78" s="11" t="s">
        <v>30</v>
      </c>
      <c r="J78" s="11" t="s">
        <v>31</v>
      </c>
    </row>
    <row r="79" ht="18.0" customHeight="1">
      <c r="A79" s="12" t="s">
        <v>32</v>
      </c>
      <c r="B79" s="13"/>
      <c r="C79" s="9">
        <f>COUNTIF(C5:C18,"Y")</f>
        <v>0</v>
      </c>
      <c r="D79" s="9">
        <f>SUM(E5:E18)</f>
        <v>0</v>
      </c>
      <c r="E79" s="14" t="str">
        <f>IFERROR(SUM(F5:F18)/SUM(E5:E18),"--")</f>
        <v>--</v>
      </c>
      <c r="F79" s="14" t="str">
        <f>IFERROR(SUM(G5:G18)/SUM(E5:E18),"--")</f>
        <v>--</v>
      </c>
      <c r="G79" s="14" t="str">
        <f>IFERROR(SUM(H5:H18)/SUM(E5:E18),"--")</f>
        <v>--</v>
      </c>
      <c r="H79" s="9" t="str">
        <f>IFERROR(AVERAGE(I5:I18),"--")</f>
        <v>--</v>
      </c>
      <c r="I79" s="8">
        <v>0.0</v>
      </c>
      <c r="J79" s="6"/>
    </row>
    <row r="80" ht="18.0" customHeight="1">
      <c r="A80" s="12" t="s">
        <v>13</v>
      </c>
      <c r="B80" s="13"/>
      <c r="C80" s="9">
        <f>COUNTIF(C19:C25,"Y")</f>
        <v>0</v>
      </c>
      <c r="D80" s="9">
        <f>SUM(E19:E25)</f>
        <v>0</v>
      </c>
      <c r="E80" s="14" t="str">
        <f>IFERROR(SUM(F19:F25)/SUM(E19:E25),"--")</f>
        <v>--</v>
      </c>
      <c r="F80" s="14" t="str">
        <f>IFERROR(SUM(G19:G25)/SUM(E19:E25),"--")</f>
        <v>--</v>
      </c>
      <c r="G80" s="14" t="str">
        <f>IFERROR(SUM(H19:H25)/SUM(E19:E25),"--")</f>
        <v>--</v>
      </c>
      <c r="H80" s="9" t="str">
        <f>IFERROR(AVERAGE(I19:I25),"--")</f>
        <v>--</v>
      </c>
      <c r="I80" s="8">
        <v>0.0</v>
      </c>
      <c r="J80" s="6"/>
    </row>
    <row r="81" ht="18.0" customHeight="1">
      <c r="A81" s="12" t="s">
        <v>14</v>
      </c>
      <c r="B81" s="13"/>
      <c r="C81" s="9">
        <f>COUNTIF(C26:C32,"Y")</f>
        <v>0</v>
      </c>
      <c r="D81" s="9">
        <f>SUM(E26:E32)</f>
        <v>0</v>
      </c>
      <c r="E81" s="14" t="str">
        <f>IFERROR(SUM(F26:F32)/SUM(E26:E32),"--")</f>
        <v>--</v>
      </c>
      <c r="F81" s="14" t="str">
        <f>IFERROR(SUM(G26:G32)/SUM(E26:E32),"--")</f>
        <v>--</v>
      </c>
      <c r="G81" s="14" t="str">
        <f>IFERROR(SUM(H26:H32)/SUM(E26:E32),"--")</f>
        <v>--</v>
      </c>
      <c r="H81" s="9" t="str">
        <f>IFERROR(AVERAGE(I26:I32),"--")</f>
        <v>--</v>
      </c>
      <c r="I81" s="8">
        <v>0.0</v>
      </c>
      <c r="J81" s="6"/>
    </row>
    <row r="82" ht="18.0" customHeight="1">
      <c r="A82" s="12" t="s">
        <v>15</v>
      </c>
      <c r="B82" s="13"/>
      <c r="C82" s="9">
        <f>COUNTIF(C33:C39,"Y")</f>
        <v>0</v>
      </c>
      <c r="D82" s="9">
        <f>SUM(E33:E39)</f>
        <v>0</v>
      </c>
      <c r="E82" s="14" t="str">
        <f>IFERROR(SUM(F33:F39)/SUM(E33:E39),"--")</f>
        <v>--</v>
      </c>
      <c r="F82" s="14" t="str">
        <f>IFERROR(SUM(G33:G39)/SUM(E33:E39),"--")</f>
        <v>--</v>
      </c>
      <c r="G82" s="14" t="str">
        <f>IFERROR(SUM(H33:H39)/SUM(E33:E39),"--")</f>
        <v>--</v>
      </c>
      <c r="H82" s="9" t="str">
        <f>IFERROR(AVERAGE(I33:I39),"--")</f>
        <v>--</v>
      </c>
      <c r="I82" s="8">
        <v>0.0</v>
      </c>
      <c r="J82" s="6"/>
    </row>
    <row r="83" ht="18.0" customHeight="1">
      <c r="A83" s="12" t="s">
        <v>16</v>
      </c>
      <c r="B83" s="13"/>
      <c r="C83" s="9">
        <f>COUNTIF(C40:C46,"Y")</f>
        <v>0</v>
      </c>
      <c r="D83" s="9">
        <f>SUM(E40:E46)</f>
        <v>0</v>
      </c>
      <c r="E83" s="14" t="str">
        <f>IFERROR(SUM(F40:F46)/SUM(E40:E46),"--")</f>
        <v>--</v>
      </c>
      <c r="F83" s="14" t="str">
        <f>IFERROR(SUM(G40:G46)/SUM(E40:E46),"--")</f>
        <v>--</v>
      </c>
      <c r="G83" s="14" t="str">
        <f>IFERROR(SUM(H40:H46)/SUM(E40:E46),"--")</f>
        <v>--</v>
      </c>
      <c r="H83" s="9" t="str">
        <f>IFERROR(AVERAGE(I40:I46),"--")</f>
        <v>--</v>
      </c>
      <c r="I83" s="8">
        <v>0.0</v>
      </c>
      <c r="J83" s="6"/>
    </row>
    <row r="84" ht="18.0" customHeight="1">
      <c r="A84" s="12" t="s">
        <v>17</v>
      </c>
      <c r="B84" s="13"/>
      <c r="C84" s="9">
        <f>COUNTIF(C47:C53,"Y")</f>
        <v>0</v>
      </c>
      <c r="D84" s="9">
        <f>SUM(E47:E53)</f>
        <v>0</v>
      </c>
      <c r="E84" s="14" t="str">
        <f>IFERROR(SUM(F47:F53)/SUM(E47:E53),"--")</f>
        <v>--</v>
      </c>
      <c r="F84" s="14" t="str">
        <f>IFERROR(SUM(G47:G53)/SUM(E47:E53),"--")</f>
        <v>--</v>
      </c>
      <c r="G84" s="14" t="str">
        <f>IFERROR(SUM(H47:H53)/SUM(E47:E53),"--")</f>
        <v>--</v>
      </c>
      <c r="H84" s="9" t="str">
        <f>IFERROR(AVERAGE(I47:I53),"--")</f>
        <v>--</v>
      </c>
      <c r="I84" s="8">
        <v>0.0</v>
      </c>
      <c r="J84" s="6"/>
    </row>
    <row r="85" ht="18.0" customHeight="1">
      <c r="A85" s="12" t="s">
        <v>18</v>
      </c>
      <c r="B85" s="13"/>
      <c r="C85" s="9">
        <f>COUNTIF(C54:C60,"Y")</f>
        <v>0</v>
      </c>
      <c r="D85" s="9">
        <f>SUM(E54:E60)</f>
        <v>0</v>
      </c>
      <c r="E85" s="14" t="str">
        <f>IFERROR(SUM(F54:F60)/SUM(E54:E60),"--")</f>
        <v>--</v>
      </c>
      <c r="F85" s="14" t="str">
        <f>IFERROR(SUM(G54:G60)/SUM(E54:E60),"--")</f>
        <v>--</v>
      </c>
      <c r="G85" s="14" t="str">
        <f>IFERROR(SUM(H54:H60)/SUM(E54:E60),"--")</f>
        <v>--</v>
      </c>
      <c r="H85" s="9" t="str">
        <f>IFERROR(AVERAGE(I54:I60),"--")</f>
        <v>--</v>
      </c>
      <c r="I85" s="8">
        <v>0.0</v>
      </c>
      <c r="J85" s="6"/>
    </row>
    <row r="86" ht="18.0" customHeight="1">
      <c r="A86" s="12" t="s">
        <v>19</v>
      </c>
      <c r="B86" s="13"/>
      <c r="C86" s="9">
        <f>COUNTIF(C61:C67,"Y")</f>
        <v>0</v>
      </c>
      <c r="D86" s="9">
        <f>SUM(E61:E67)</f>
        <v>0</v>
      </c>
      <c r="E86" s="14" t="str">
        <f>IFERROR(SUM(F61:F67)/SUM(E61:E67),"--")</f>
        <v>--</v>
      </c>
      <c r="F86" s="14" t="str">
        <f>IFERROR(SUM(G61:G67)/SUM(E61:E67),"--")</f>
        <v>--</v>
      </c>
      <c r="G86" s="14" t="str">
        <f>IFERROR(SUM(H61:H67)/SUM(E61:E67),"--")</f>
        <v>--</v>
      </c>
      <c r="H86" s="9" t="str">
        <f>IFERROR(AVERAGE(I61:I67),"--")</f>
        <v>--</v>
      </c>
      <c r="I86" s="8">
        <v>0.0</v>
      </c>
      <c r="J86" s="6"/>
    </row>
    <row r="87" ht="18.0" customHeight="1">
      <c r="A87" s="12" t="s">
        <v>20</v>
      </c>
      <c r="B87" s="13"/>
      <c r="C87" s="9">
        <f>COUNTIF(C68:C74,"Y")</f>
        <v>0</v>
      </c>
      <c r="D87" s="9">
        <f>SUM(E68:E74)</f>
        <v>0</v>
      </c>
      <c r="E87" s="14" t="str">
        <f>IFERROR(SUM(F68:F74)/SUM(E68:E74),"--")</f>
        <v>--</v>
      </c>
      <c r="F87" s="14" t="str">
        <f>IFERROR(SUM(G68:G74)/SUM(E68:E74),"--")</f>
        <v>--</v>
      </c>
      <c r="G87" s="14" t="str">
        <f>IFERROR(SUM(H68:H74)/SUM(E68:E74),"--")</f>
        <v>--</v>
      </c>
      <c r="H87" s="9" t="str">
        <f>IFERROR(AVERAGE(I68:I74),"--")</f>
        <v>--</v>
      </c>
      <c r="I87" s="8">
        <v>0.0</v>
      </c>
      <c r="J87" s="6"/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J1"/>
    <mergeCell ref="A2:J2"/>
    <mergeCell ref="A77:J77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8.0"/>
    <col customWidth="1" min="3" max="3" width="10.0"/>
    <col customWidth="1" min="4" max="4" width="12.0"/>
    <col customWidth="1" min="5" max="5" width="13.0"/>
    <col customWidth="1" min="6" max="6" width="18.0"/>
    <col customWidth="1" min="7" max="7" width="14.0"/>
    <col customWidth="1" min="8" max="8" width="20.0"/>
    <col customWidth="1" min="9" max="9" width="24.0"/>
    <col customWidth="1" min="10" max="26" width="8.71"/>
  </cols>
  <sheetData>
    <row r="1" ht="30.0" customHeight="1">
      <c r="A1" s="1" t="s">
        <v>33</v>
      </c>
      <c r="B1" s="2"/>
      <c r="C1" s="2"/>
      <c r="D1" s="2"/>
      <c r="E1" s="2"/>
      <c r="F1" s="2"/>
      <c r="G1" s="2"/>
      <c r="H1" s="2"/>
      <c r="I1" s="3"/>
    </row>
    <row r="2" ht="15.75" customHeight="1">
      <c r="A2" s="4" t="s">
        <v>34</v>
      </c>
      <c r="B2" s="2"/>
      <c r="C2" s="2"/>
      <c r="D2" s="2"/>
      <c r="E2" s="2"/>
      <c r="F2" s="2"/>
      <c r="G2" s="2"/>
      <c r="H2" s="2"/>
      <c r="I2" s="3"/>
    </row>
    <row r="3" ht="6.0" customHeight="1"/>
    <row r="4" ht="39.75" customHeight="1">
      <c r="A4" s="5" t="s">
        <v>2</v>
      </c>
      <c r="B4" s="5" t="s">
        <v>22</v>
      </c>
      <c r="C4" s="5" t="s">
        <v>35</v>
      </c>
      <c r="D4" s="5" t="s">
        <v>36</v>
      </c>
      <c r="E4" s="5" t="s">
        <v>37</v>
      </c>
      <c r="F4" s="5" t="s">
        <v>38</v>
      </c>
      <c r="G4" s="5" t="s">
        <v>39</v>
      </c>
      <c r="H4" s="5" t="s">
        <v>40</v>
      </c>
      <c r="I4" s="5" t="s">
        <v>31</v>
      </c>
    </row>
    <row r="5" ht="18.0" customHeight="1">
      <c r="A5" s="6"/>
      <c r="B5" s="12" t="s">
        <v>15</v>
      </c>
      <c r="C5" s="6"/>
      <c r="D5" s="8">
        <v>0.0</v>
      </c>
      <c r="E5" s="15"/>
      <c r="F5" s="6"/>
      <c r="G5" s="6"/>
      <c r="H5" s="6"/>
      <c r="I5" s="6"/>
    </row>
    <row r="6" ht="18.0" customHeight="1">
      <c r="A6" s="6"/>
      <c r="B6" s="12" t="s">
        <v>15</v>
      </c>
      <c r="C6" s="6"/>
      <c r="D6" s="8">
        <v>0.0</v>
      </c>
      <c r="E6" s="15"/>
      <c r="F6" s="6"/>
      <c r="G6" s="6"/>
      <c r="H6" s="6"/>
      <c r="I6" s="6"/>
    </row>
    <row r="7" ht="18.0" customHeight="1">
      <c r="A7" s="6"/>
      <c r="B7" s="12" t="s">
        <v>15</v>
      </c>
      <c r="C7" s="6"/>
      <c r="D7" s="8">
        <v>0.0</v>
      </c>
      <c r="E7" s="15"/>
      <c r="F7" s="6"/>
      <c r="G7" s="6"/>
      <c r="H7" s="6"/>
      <c r="I7" s="6"/>
    </row>
    <row r="8" ht="18.0" customHeight="1">
      <c r="A8" s="6"/>
      <c r="B8" s="12" t="s">
        <v>15</v>
      </c>
      <c r="C8" s="6"/>
      <c r="D8" s="8">
        <v>0.0</v>
      </c>
      <c r="E8" s="15"/>
      <c r="F8" s="6"/>
      <c r="G8" s="6"/>
      <c r="H8" s="6"/>
      <c r="I8" s="6"/>
    </row>
    <row r="9" ht="18.0" customHeight="1">
      <c r="A9" s="6"/>
      <c r="B9" s="12" t="s">
        <v>15</v>
      </c>
      <c r="C9" s="6"/>
      <c r="D9" s="8">
        <v>0.0</v>
      </c>
      <c r="E9" s="15"/>
      <c r="F9" s="6"/>
      <c r="G9" s="6"/>
      <c r="H9" s="6"/>
      <c r="I9" s="6"/>
    </row>
    <row r="10" ht="18.0" customHeight="1">
      <c r="A10" s="6"/>
      <c r="B10" s="12" t="s">
        <v>15</v>
      </c>
      <c r="C10" s="6"/>
      <c r="D10" s="8">
        <v>0.0</v>
      </c>
      <c r="E10" s="15"/>
      <c r="F10" s="6"/>
      <c r="G10" s="6"/>
      <c r="H10" s="6"/>
      <c r="I10" s="6"/>
    </row>
    <row r="11" ht="18.0" customHeight="1">
      <c r="A11" s="6"/>
      <c r="B11" s="12" t="s">
        <v>15</v>
      </c>
      <c r="C11" s="6"/>
      <c r="D11" s="8">
        <v>0.0</v>
      </c>
      <c r="E11" s="15"/>
      <c r="F11" s="6"/>
      <c r="G11" s="6"/>
      <c r="H11" s="6"/>
      <c r="I11" s="6"/>
    </row>
    <row r="12" ht="18.0" customHeight="1">
      <c r="A12" s="6"/>
      <c r="B12" s="12" t="s">
        <v>16</v>
      </c>
      <c r="C12" s="6"/>
      <c r="D12" s="8">
        <v>0.0</v>
      </c>
      <c r="E12" s="15"/>
      <c r="F12" s="6"/>
      <c r="G12" s="6"/>
      <c r="H12" s="6"/>
      <c r="I12" s="6"/>
    </row>
    <row r="13" ht="18.0" customHeight="1">
      <c r="A13" s="6"/>
      <c r="B13" s="12" t="s">
        <v>16</v>
      </c>
      <c r="C13" s="6"/>
      <c r="D13" s="8">
        <v>0.0</v>
      </c>
      <c r="E13" s="15"/>
      <c r="F13" s="6"/>
      <c r="G13" s="6"/>
      <c r="H13" s="6"/>
      <c r="I13" s="6"/>
    </row>
    <row r="14" ht="18.0" customHeight="1">
      <c r="A14" s="6"/>
      <c r="B14" s="12" t="s">
        <v>16</v>
      </c>
      <c r="C14" s="6"/>
      <c r="D14" s="8">
        <v>0.0</v>
      </c>
      <c r="E14" s="15"/>
      <c r="F14" s="6"/>
      <c r="G14" s="6"/>
      <c r="H14" s="6"/>
      <c r="I14" s="6"/>
    </row>
    <row r="15" ht="18.0" customHeight="1">
      <c r="A15" s="6"/>
      <c r="B15" s="12" t="s">
        <v>16</v>
      </c>
      <c r="C15" s="6"/>
      <c r="D15" s="8">
        <v>0.0</v>
      </c>
      <c r="E15" s="15"/>
      <c r="F15" s="6"/>
      <c r="G15" s="6"/>
      <c r="H15" s="6"/>
      <c r="I15" s="6"/>
    </row>
    <row r="16" ht="18.0" customHeight="1">
      <c r="A16" s="6"/>
      <c r="B16" s="12" t="s">
        <v>16</v>
      </c>
      <c r="C16" s="6"/>
      <c r="D16" s="8">
        <v>0.0</v>
      </c>
      <c r="E16" s="15"/>
      <c r="F16" s="6"/>
      <c r="G16" s="6"/>
      <c r="H16" s="6"/>
      <c r="I16" s="6"/>
    </row>
    <row r="17" ht="18.0" customHeight="1">
      <c r="A17" s="6"/>
      <c r="B17" s="12" t="s">
        <v>16</v>
      </c>
      <c r="C17" s="6"/>
      <c r="D17" s="8">
        <v>0.0</v>
      </c>
      <c r="E17" s="15"/>
      <c r="F17" s="6"/>
      <c r="G17" s="6"/>
      <c r="H17" s="6"/>
      <c r="I17" s="6"/>
    </row>
    <row r="18" ht="18.0" customHeight="1">
      <c r="A18" s="6"/>
      <c r="B18" s="12" t="s">
        <v>16</v>
      </c>
      <c r="C18" s="6"/>
      <c r="D18" s="8">
        <v>0.0</v>
      </c>
      <c r="E18" s="15"/>
      <c r="F18" s="6"/>
      <c r="G18" s="6"/>
      <c r="H18" s="6"/>
      <c r="I18" s="6"/>
    </row>
    <row r="19" ht="18.0" customHeight="1">
      <c r="A19" s="6"/>
      <c r="B19" s="12" t="s">
        <v>17</v>
      </c>
      <c r="C19" s="6"/>
      <c r="D19" s="8">
        <v>0.0</v>
      </c>
      <c r="E19" s="15"/>
      <c r="F19" s="6"/>
      <c r="G19" s="6"/>
      <c r="H19" s="6"/>
      <c r="I19" s="6"/>
    </row>
    <row r="20" ht="18.0" customHeight="1">
      <c r="A20" s="6"/>
      <c r="B20" s="12" t="s">
        <v>17</v>
      </c>
      <c r="C20" s="6"/>
      <c r="D20" s="8">
        <v>0.0</v>
      </c>
      <c r="E20" s="15"/>
      <c r="F20" s="6"/>
      <c r="G20" s="6"/>
      <c r="H20" s="6"/>
      <c r="I20" s="6"/>
    </row>
    <row r="21" ht="18.0" customHeight="1">
      <c r="A21" s="6"/>
      <c r="B21" s="12" t="s">
        <v>17</v>
      </c>
      <c r="C21" s="6"/>
      <c r="D21" s="8">
        <v>0.0</v>
      </c>
      <c r="E21" s="15"/>
      <c r="F21" s="6"/>
      <c r="G21" s="6"/>
      <c r="H21" s="6"/>
      <c r="I21" s="6"/>
    </row>
    <row r="22" ht="18.0" customHeight="1">
      <c r="A22" s="6"/>
      <c r="B22" s="12" t="s">
        <v>17</v>
      </c>
      <c r="C22" s="6"/>
      <c r="D22" s="8">
        <v>0.0</v>
      </c>
      <c r="E22" s="15"/>
      <c r="F22" s="6"/>
      <c r="G22" s="6"/>
      <c r="H22" s="6"/>
      <c r="I22" s="6"/>
    </row>
    <row r="23" ht="18.0" customHeight="1">
      <c r="A23" s="6"/>
      <c r="B23" s="12" t="s">
        <v>17</v>
      </c>
      <c r="C23" s="6"/>
      <c r="D23" s="8">
        <v>0.0</v>
      </c>
      <c r="E23" s="15"/>
      <c r="F23" s="6"/>
      <c r="G23" s="6"/>
      <c r="H23" s="6"/>
      <c r="I23" s="6"/>
    </row>
    <row r="24" ht="18.0" customHeight="1">
      <c r="A24" s="6"/>
      <c r="B24" s="12" t="s">
        <v>17</v>
      </c>
      <c r="C24" s="6"/>
      <c r="D24" s="8">
        <v>0.0</v>
      </c>
      <c r="E24" s="15"/>
      <c r="F24" s="6"/>
      <c r="G24" s="6"/>
      <c r="H24" s="6"/>
      <c r="I24" s="6"/>
    </row>
    <row r="25" ht="18.0" customHeight="1">
      <c r="A25" s="6"/>
      <c r="B25" s="12" t="s">
        <v>17</v>
      </c>
      <c r="C25" s="6"/>
      <c r="D25" s="8">
        <v>0.0</v>
      </c>
      <c r="E25" s="15"/>
      <c r="F25" s="6"/>
      <c r="G25" s="6"/>
      <c r="H25" s="6"/>
      <c r="I25" s="6"/>
    </row>
    <row r="26" ht="18.0" customHeight="1">
      <c r="A26" s="6"/>
      <c r="B26" s="12" t="s">
        <v>18</v>
      </c>
      <c r="C26" s="6"/>
      <c r="D26" s="8">
        <v>0.0</v>
      </c>
      <c r="E26" s="15"/>
      <c r="F26" s="6"/>
      <c r="G26" s="6"/>
      <c r="H26" s="6"/>
      <c r="I26" s="6"/>
    </row>
    <row r="27" ht="18.0" customHeight="1">
      <c r="A27" s="6"/>
      <c r="B27" s="12" t="s">
        <v>18</v>
      </c>
      <c r="C27" s="6"/>
      <c r="D27" s="8">
        <v>0.0</v>
      </c>
      <c r="E27" s="15"/>
      <c r="F27" s="6"/>
      <c r="G27" s="6"/>
      <c r="H27" s="6"/>
      <c r="I27" s="6"/>
    </row>
    <row r="28" ht="18.0" customHeight="1">
      <c r="A28" s="6"/>
      <c r="B28" s="12" t="s">
        <v>18</v>
      </c>
      <c r="C28" s="6"/>
      <c r="D28" s="8">
        <v>0.0</v>
      </c>
      <c r="E28" s="15"/>
      <c r="F28" s="6"/>
      <c r="G28" s="6"/>
      <c r="H28" s="6"/>
      <c r="I28" s="6"/>
    </row>
    <row r="29" ht="18.0" customHeight="1">
      <c r="A29" s="6"/>
      <c r="B29" s="12" t="s">
        <v>18</v>
      </c>
      <c r="C29" s="6"/>
      <c r="D29" s="8">
        <v>0.0</v>
      </c>
      <c r="E29" s="15"/>
      <c r="F29" s="6"/>
      <c r="G29" s="6"/>
      <c r="H29" s="6"/>
      <c r="I29" s="6"/>
    </row>
    <row r="30" ht="18.0" customHeight="1">
      <c r="A30" s="6"/>
      <c r="B30" s="12" t="s">
        <v>18</v>
      </c>
      <c r="C30" s="6"/>
      <c r="D30" s="8">
        <v>0.0</v>
      </c>
      <c r="E30" s="15"/>
      <c r="F30" s="6"/>
      <c r="G30" s="6"/>
      <c r="H30" s="6"/>
      <c r="I30" s="6"/>
    </row>
    <row r="31" ht="18.0" customHeight="1">
      <c r="A31" s="6"/>
      <c r="B31" s="12" t="s">
        <v>18</v>
      </c>
      <c r="C31" s="6"/>
      <c r="D31" s="8">
        <v>0.0</v>
      </c>
      <c r="E31" s="15"/>
      <c r="F31" s="6"/>
      <c r="G31" s="6"/>
      <c r="H31" s="6"/>
      <c r="I31" s="6"/>
    </row>
    <row r="32" ht="18.0" customHeight="1">
      <c r="A32" s="6"/>
      <c r="B32" s="12" t="s">
        <v>18</v>
      </c>
      <c r="C32" s="6"/>
      <c r="D32" s="8">
        <v>0.0</v>
      </c>
      <c r="E32" s="15"/>
      <c r="F32" s="6"/>
      <c r="G32" s="6"/>
      <c r="H32" s="6"/>
      <c r="I32" s="6"/>
    </row>
    <row r="33" ht="18.0" customHeight="1">
      <c r="A33" s="6"/>
      <c r="B33" s="12" t="s">
        <v>19</v>
      </c>
      <c r="C33" s="6"/>
      <c r="D33" s="8">
        <v>0.0</v>
      </c>
      <c r="E33" s="15"/>
      <c r="F33" s="6"/>
      <c r="G33" s="6"/>
      <c r="H33" s="6"/>
      <c r="I33" s="6"/>
    </row>
    <row r="34" ht="18.0" customHeight="1">
      <c r="A34" s="6"/>
      <c r="B34" s="12" t="s">
        <v>19</v>
      </c>
      <c r="C34" s="6"/>
      <c r="D34" s="8">
        <v>0.0</v>
      </c>
      <c r="E34" s="15"/>
      <c r="F34" s="6"/>
      <c r="G34" s="6"/>
      <c r="H34" s="6"/>
      <c r="I34" s="6"/>
    </row>
    <row r="35" ht="18.0" customHeight="1">
      <c r="A35" s="6"/>
      <c r="B35" s="12" t="s">
        <v>19</v>
      </c>
      <c r="C35" s="6"/>
      <c r="D35" s="8">
        <v>0.0</v>
      </c>
      <c r="E35" s="15"/>
      <c r="F35" s="6"/>
      <c r="G35" s="6"/>
      <c r="H35" s="6"/>
      <c r="I35" s="6"/>
    </row>
    <row r="36" ht="18.0" customHeight="1">
      <c r="A36" s="6"/>
      <c r="B36" s="12" t="s">
        <v>19</v>
      </c>
      <c r="C36" s="6"/>
      <c r="D36" s="8">
        <v>0.0</v>
      </c>
      <c r="E36" s="15"/>
      <c r="F36" s="6"/>
      <c r="G36" s="6"/>
      <c r="H36" s="6"/>
      <c r="I36" s="6"/>
    </row>
    <row r="37" ht="18.0" customHeight="1">
      <c r="A37" s="6"/>
      <c r="B37" s="12" t="s">
        <v>19</v>
      </c>
      <c r="C37" s="6"/>
      <c r="D37" s="8">
        <v>0.0</v>
      </c>
      <c r="E37" s="15"/>
      <c r="F37" s="6"/>
      <c r="G37" s="6"/>
      <c r="H37" s="6"/>
      <c r="I37" s="6"/>
    </row>
    <row r="38" ht="18.0" customHeight="1">
      <c r="A38" s="6"/>
      <c r="B38" s="12" t="s">
        <v>19</v>
      </c>
      <c r="C38" s="6"/>
      <c r="D38" s="8">
        <v>0.0</v>
      </c>
      <c r="E38" s="15"/>
      <c r="F38" s="6"/>
      <c r="G38" s="6"/>
      <c r="H38" s="6"/>
      <c r="I38" s="6"/>
    </row>
    <row r="39" ht="18.0" customHeight="1">
      <c r="A39" s="6"/>
      <c r="B39" s="12" t="s">
        <v>19</v>
      </c>
      <c r="C39" s="6"/>
      <c r="D39" s="8">
        <v>0.0</v>
      </c>
      <c r="E39" s="15"/>
      <c r="F39" s="6"/>
      <c r="G39" s="6"/>
      <c r="H39" s="6"/>
      <c r="I39" s="6"/>
    </row>
    <row r="40" ht="18.0" customHeight="1">
      <c r="A40" s="6"/>
      <c r="B40" s="12" t="s">
        <v>20</v>
      </c>
      <c r="C40" s="6"/>
      <c r="D40" s="8">
        <v>0.0</v>
      </c>
      <c r="E40" s="15"/>
      <c r="F40" s="6"/>
      <c r="G40" s="6"/>
      <c r="H40" s="6"/>
      <c r="I40" s="6"/>
    </row>
    <row r="41" ht="18.0" customHeight="1">
      <c r="A41" s="6"/>
      <c r="B41" s="12" t="s">
        <v>20</v>
      </c>
      <c r="C41" s="6"/>
      <c r="D41" s="8">
        <v>0.0</v>
      </c>
      <c r="E41" s="15"/>
      <c r="F41" s="6"/>
      <c r="G41" s="6"/>
      <c r="H41" s="6"/>
      <c r="I41" s="6"/>
    </row>
    <row r="42" ht="18.0" customHeight="1">
      <c r="A42" s="6"/>
      <c r="B42" s="12" t="s">
        <v>20</v>
      </c>
      <c r="C42" s="6"/>
      <c r="D42" s="8">
        <v>0.0</v>
      </c>
      <c r="E42" s="15"/>
      <c r="F42" s="6"/>
      <c r="G42" s="6"/>
      <c r="H42" s="6"/>
      <c r="I42" s="6"/>
    </row>
    <row r="43" ht="18.0" customHeight="1">
      <c r="A43" s="6"/>
      <c r="B43" s="12" t="s">
        <v>20</v>
      </c>
      <c r="C43" s="6"/>
      <c r="D43" s="8">
        <v>0.0</v>
      </c>
      <c r="E43" s="15"/>
      <c r="F43" s="6"/>
      <c r="G43" s="6"/>
      <c r="H43" s="6"/>
      <c r="I43" s="6"/>
    </row>
    <row r="44" ht="18.0" customHeight="1">
      <c r="A44" s="6"/>
      <c r="B44" s="12" t="s">
        <v>20</v>
      </c>
      <c r="C44" s="6"/>
      <c r="D44" s="8">
        <v>0.0</v>
      </c>
      <c r="E44" s="15"/>
      <c r="F44" s="6"/>
      <c r="G44" s="6"/>
      <c r="H44" s="6"/>
      <c r="I44" s="6"/>
    </row>
    <row r="45" ht="18.0" customHeight="1">
      <c r="A45" s="6"/>
      <c r="B45" s="12" t="s">
        <v>20</v>
      </c>
      <c r="C45" s="6"/>
      <c r="D45" s="8">
        <v>0.0</v>
      </c>
      <c r="E45" s="15"/>
      <c r="F45" s="6"/>
      <c r="G45" s="6"/>
      <c r="H45" s="6"/>
      <c r="I45" s="6"/>
    </row>
    <row r="46" ht="18.0" customHeight="1">
      <c r="A46" s="6"/>
      <c r="B46" s="12" t="s">
        <v>20</v>
      </c>
      <c r="C46" s="6"/>
      <c r="D46" s="8">
        <v>0.0</v>
      </c>
      <c r="E46" s="15"/>
      <c r="F46" s="6"/>
      <c r="G46" s="6"/>
      <c r="H46" s="6"/>
      <c r="I46" s="6"/>
    </row>
    <row r="47" ht="6.0" customHeight="1"/>
    <row r="48" ht="19.5" customHeight="1">
      <c r="A48" s="10" t="s">
        <v>21</v>
      </c>
      <c r="B48" s="2"/>
      <c r="C48" s="2"/>
      <c r="D48" s="2"/>
      <c r="E48" s="2"/>
      <c r="F48" s="2"/>
      <c r="G48" s="2"/>
      <c r="H48" s="2"/>
      <c r="I48" s="3"/>
    </row>
    <row r="49" ht="24.0" customHeight="1">
      <c r="A49" s="11" t="s">
        <v>22</v>
      </c>
      <c r="B49" s="11" t="s">
        <v>24</v>
      </c>
      <c r="C49" s="11" t="s">
        <v>41</v>
      </c>
      <c r="D49" s="11" t="s">
        <v>42</v>
      </c>
      <c r="E49" s="11" t="s">
        <v>43</v>
      </c>
      <c r="F49" s="11" t="s">
        <v>44</v>
      </c>
      <c r="G49" s="11" t="s">
        <v>45</v>
      </c>
      <c r="H49" s="11" t="s">
        <v>46</v>
      </c>
      <c r="I49" s="11" t="s">
        <v>31</v>
      </c>
    </row>
    <row r="50" ht="18.0" customHeight="1">
      <c r="A50" s="12" t="s">
        <v>15</v>
      </c>
      <c r="B50" s="9">
        <f>COUNTIF(C5:C11,"N")</f>
        <v>0</v>
      </c>
      <c r="C50" s="9">
        <f>SUM(D5:D11)</f>
        <v>0</v>
      </c>
      <c r="D50" s="16" t="str">
        <f>IFERROR(SUM(D5:D11)/COUNTIF(C5:C11,"N"),"--")</f>
        <v>--</v>
      </c>
      <c r="E50" s="16" t="str">
        <f>IFERROR(AVERAGE(E5:E11),"--")</f>
        <v>--</v>
      </c>
      <c r="F50" s="17" t="str">
        <f>IFERROR(COUNTIF(F5:F11,"High")/COUNTIF(C5:C11,"N"),"--")</f>
        <v>--</v>
      </c>
      <c r="G50" s="17" t="str">
        <f>IFERROR(COUNTIF(F5:F11,"Low")/COUNTIF(C5:C11,"N"),"--")</f>
        <v>--</v>
      </c>
      <c r="H50" s="9">
        <f>COUNTIF(C5:C11,"Y")</f>
        <v>0</v>
      </c>
      <c r="I50" s="6"/>
    </row>
    <row r="51" ht="18.0" customHeight="1">
      <c r="A51" s="12" t="s">
        <v>16</v>
      </c>
      <c r="B51" s="9">
        <f>COUNTIF(C12:C18,"N")</f>
        <v>0</v>
      </c>
      <c r="C51" s="9">
        <f>SUM(D12:D18)</f>
        <v>0</v>
      </c>
      <c r="D51" s="16" t="str">
        <f>IFERROR(SUM(D12:D18)/COUNTIF(C12:C18,"N"),"--")</f>
        <v>--</v>
      </c>
      <c r="E51" s="16" t="str">
        <f>IFERROR(AVERAGE(E12:E18),"--")</f>
        <v>--</v>
      </c>
      <c r="F51" s="17" t="str">
        <f>IFERROR(COUNTIF(F12:F18,"High")/COUNTIF(C12:C18,"N"),"--")</f>
        <v>--</v>
      </c>
      <c r="G51" s="17" t="str">
        <f>IFERROR(COUNTIF(F12:F18,"Low")/COUNTIF(C12:C18,"N"),"--")</f>
        <v>--</v>
      </c>
      <c r="H51" s="9">
        <f>COUNTIF(C12:C18,"Y")</f>
        <v>0</v>
      </c>
      <c r="I51" s="6"/>
    </row>
    <row r="52" ht="18.0" customHeight="1">
      <c r="A52" s="12" t="s">
        <v>17</v>
      </c>
      <c r="B52" s="9">
        <f>COUNTIF(C19:C25,"N")</f>
        <v>0</v>
      </c>
      <c r="C52" s="9">
        <f>SUM(D19:D25)</f>
        <v>0</v>
      </c>
      <c r="D52" s="16" t="str">
        <f>IFERROR(SUM(D19:D25)/COUNTIF(C19:C25,"N"),"--")</f>
        <v>--</v>
      </c>
      <c r="E52" s="16" t="str">
        <f>IFERROR(AVERAGE(E19:E25),"--")</f>
        <v>--</v>
      </c>
      <c r="F52" s="17" t="str">
        <f>IFERROR(COUNTIF(F19:F25,"High")/COUNTIF(C19:C25,"N"),"--")</f>
        <v>--</v>
      </c>
      <c r="G52" s="17" t="str">
        <f>IFERROR(COUNTIF(F19:F25,"Low")/COUNTIF(C19:C25,"N"),"--")</f>
        <v>--</v>
      </c>
      <c r="H52" s="9">
        <f>COUNTIF(C19:C25,"Y")</f>
        <v>0</v>
      </c>
      <c r="I52" s="6"/>
    </row>
    <row r="53" ht="18.0" customHeight="1">
      <c r="A53" s="12" t="s">
        <v>18</v>
      </c>
      <c r="B53" s="9">
        <f>COUNTIF(C26:C32,"N")</f>
        <v>0</v>
      </c>
      <c r="C53" s="9">
        <f>SUM(D26:D32)</f>
        <v>0</v>
      </c>
      <c r="D53" s="16" t="str">
        <f>IFERROR(SUM(D26:D32)/COUNTIF(C26:C32,"N"),"--")</f>
        <v>--</v>
      </c>
      <c r="E53" s="16" t="str">
        <f>IFERROR(AVERAGE(E26:E32),"--")</f>
        <v>--</v>
      </c>
      <c r="F53" s="17" t="str">
        <f>IFERROR(COUNTIF(F26:F32,"High")/COUNTIF(C26:C32,"N"),"--")</f>
        <v>--</v>
      </c>
      <c r="G53" s="17" t="str">
        <f>IFERROR(COUNTIF(F26:F32,"Low")/COUNTIF(C26:C32,"N"),"--")</f>
        <v>--</v>
      </c>
      <c r="H53" s="9">
        <f>COUNTIF(C26:C32,"Y")</f>
        <v>0</v>
      </c>
      <c r="I53" s="6"/>
    </row>
    <row r="54" ht="18.0" customHeight="1">
      <c r="A54" s="12" t="s">
        <v>19</v>
      </c>
      <c r="B54" s="9">
        <f>COUNTIF(C33:C39,"N")</f>
        <v>0</v>
      </c>
      <c r="C54" s="9">
        <f>SUM(D33:D39)</f>
        <v>0</v>
      </c>
      <c r="D54" s="16" t="str">
        <f>IFERROR(SUM(D33:D39)/COUNTIF(C33:C39,"N"),"--")</f>
        <v>--</v>
      </c>
      <c r="E54" s="16" t="str">
        <f>IFERROR(AVERAGE(E33:E39),"--")</f>
        <v>--</v>
      </c>
      <c r="F54" s="17" t="str">
        <f>IFERROR(COUNTIF(F33:F39,"High")/COUNTIF(C33:C39,"N"),"--")</f>
        <v>--</v>
      </c>
      <c r="G54" s="17" t="str">
        <f>IFERROR(COUNTIF(F33:F39,"Low")/COUNTIF(C33:C39,"N"),"--")</f>
        <v>--</v>
      </c>
      <c r="H54" s="9">
        <f>COUNTIF(C33:C39,"Y")</f>
        <v>0</v>
      </c>
      <c r="I54" s="6"/>
    </row>
    <row r="55" ht="18.0" customHeight="1">
      <c r="A55" s="12" t="s">
        <v>20</v>
      </c>
      <c r="B55" s="9">
        <f>COUNTIF(C40:C46,"N")</f>
        <v>0</v>
      </c>
      <c r="C55" s="9">
        <f>SUM(D40:D46)</f>
        <v>0</v>
      </c>
      <c r="D55" s="16" t="str">
        <f>IFERROR(SUM(D40:D46)/COUNTIF(C40:C46,"N"),"--")</f>
        <v>--</v>
      </c>
      <c r="E55" s="16" t="str">
        <f>IFERROR(AVERAGE(E40:E46),"--")</f>
        <v>--</v>
      </c>
      <c r="F55" s="17" t="str">
        <f>IFERROR(COUNTIF(F40:F46,"High")/COUNTIF(C40:C46,"N"),"--")</f>
        <v>--</v>
      </c>
      <c r="G55" s="17" t="str">
        <f>IFERROR(COUNTIF(F40:F46,"Low")/COUNTIF(C40:C46,"N"),"--")</f>
        <v>--</v>
      </c>
      <c r="H55" s="9">
        <f>COUNTIF(C40:C46,"Y")</f>
        <v>0</v>
      </c>
      <c r="I55" s="6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I1"/>
    <mergeCell ref="A2:I2"/>
    <mergeCell ref="A48:I48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0"/>
    <col customWidth="1" min="2" max="2" width="22.0"/>
    <col customWidth="1" min="3" max="3" width="14.0"/>
    <col customWidth="1" min="4" max="5" width="13.0"/>
    <col customWidth="1" min="6" max="6" width="11.0"/>
    <col customWidth="1" min="7" max="7" width="16.0"/>
    <col customWidth="1" min="8" max="8" width="24.0"/>
    <col customWidth="1" min="9" max="26" width="8.71"/>
  </cols>
  <sheetData>
    <row r="1" ht="30.0" customHeight="1">
      <c r="A1" s="1" t="s">
        <v>47</v>
      </c>
      <c r="B1" s="2"/>
      <c r="C1" s="2"/>
      <c r="D1" s="2"/>
      <c r="E1" s="2"/>
      <c r="F1" s="2"/>
      <c r="G1" s="2"/>
      <c r="H1" s="3"/>
    </row>
    <row r="2" ht="15.75" customHeight="1">
      <c r="A2" s="4" t="s">
        <v>48</v>
      </c>
      <c r="B2" s="2"/>
      <c r="C2" s="2"/>
      <c r="D2" s="2"/>
      <c r="E2" s="2"/>
      <c r="F2" s="2"/>
      <c r="G2" s="2"/>
      <c r="H2" s="3"/>
    </row>
    <row r="3" ht="6.0" customHeight="1"/>
    <row r="4" ht="43.5" customHeight="1">
      <c r="A4" s="5" t="s">
        <v>22</v>
      </c>
      <c r="B4" s="5" t="s">
        <v>49</v>
      </c>
      <c r="C4" s="5" t="s">
        <v>50</v>
      </c>
      <c r="D4" s="5" t="s">
        <v>51</v>
      </c>
      <c r="E4" s="5" t="s">
        <v>52</v>
      </c>
      <c r="F4" s="5" t="s">
        <v>53</v>
      </c>
      <c r="G4" s="5" t="s">
        <v>54</v>
      </c>
      <c r="H4" s="5" t="s">
        <v>55</v>
      </c>
    </row>
    <row r="5" ht="21.75" customHeight="1">
      <c r="A5" s="12" t="s">
        <v>32</v>
      </c>
      <c r="B5" s="13" t="s">
        <v>56</v>
      </c>
      <c r="C5" s="8"/>
      <c r="D5" s="18"/>
      <c r="E5" s="19" t="s">
        <v>57</v>
      </c>
      <c r="F5" s="20" t="s">
        <v>57</v>
      </c>
      <c r="G5" s="6"/>
      <c r="H5" s="6"/>
    </row>
    <row r="6" ht="21.75" customHeight="1">
      <c r="A6" s="12" t="s">
        <v>32</v>
      </c>
      <c r="B6" s="13" t="s">
        <v>56</v>
      </c>
      <c r="C6" s="8"/>
      <c r="D6" s="18"/>
      <c r="E6" s="19" t="s">
        <v>57</v>
      </c>
      <c r="F6" s="20" t="s">
        <v>57</v>
      </c>
      <c r="G6" s="6"/>
      <c r="H6" s="6"/>
    </row>
    <row r="7" ht="21.75" customHeight="1">
      <c r="A7" s="12" t="s">
        <v>13</v>
      </c>
      <c r="B7" s="13" t="s">
        <v>58</v>
      </c>
      <c r="C7" s="8"/>
      <c r="D7" s="18"/>
      <c r="E7" s="19" t="s">
        <v>57</v>
      </c>
      <c r="F7" s="20" t="s">
        <v>57</v>
      </c>
      <c r="G7" s="6"/>
      <c r="H7" s="6"/>
    </row>
    <row r="8" ht="21.75" customHeight="1">
      <c r="A8" s="12" t="s">
        <v>14</v>
      </c>
      <c r="B8" s="13" t="s">
        <v>59</v>
      </c>
      <c r="C8" s="8"/>
      <c r="D8" s="18"/>
      <c r="E8" s="19" t="s">
        <v>57</v>
      </c>
      <c r="F8" s="20" t="s">
        <v>57</v>
      </c>
      <c r="G8" s="6"/>
      <c r="H8" s="6"/>
    </row>
    <row r="9" ht="21.75" customHeight="1">
      <c r="A9" s="12" t="s">
        <v>15</v>
      </c>
      <c r="B9" s="13" t="s">
        <v>60</v>
      </c>
      <c r="C9" s="8"/>
      <c r="D9" s="18"/>
      <c r="E9" s="15"/>
      <c r="F9" s="8"/>
      <c r="G9" s="6"/>
      <c r="H9" s="6"/>
    </row>
    <row r="10" ht="21.75" customHeight="1">
      <c r="A10" s="12" t="s">
        <v>16</v>
      </c>
      <c r="B10" s="13" t="s">
        <v>61</v>
      </c>
      <c r="C10" s="8"/>
      <c r="D10" s="18"/>
      <c r="E10" s="15"/>
      <c r="F10" s="8"/>
      <c r="G10" s="6"/>
      <c r="H10" s="6"/>
    </row>
    <row r="11" ht="21.75" customHeight="1">
      <c r="A11" s="12" t="s">
        <v>17</v>
      </c>
      <c r="B11" s="13" t="s">
        <v>62</v>
      </c>
      <c r="C11" s="8"/>
      <c r="D11" s="18"/>
      <c r="E11" s="15"/>
      <c r="F11" s="8"/>
      <c r="G11" s="6"/>
      <c r="H11" s="6"/>
    </row>
    <row r="12" ht="21.75" customHeight="1">
      <c r="A12" s="12" t="s">
        <v>18</v>
      </c>
      <c r="B12" s="13" t="s">
        <v>63</v>
      </c>
      <c r="C12" s="8"/>
      <c r="D12" s="18"/>
      <c r="E12" s="15"/>
      <c r="F12" s="8"/>
      <c r="G12" s="6"/>
      <c r="H12" s="6"/>
    </row>
    <row r="13" ht="21.75" customHeight="1">
      <c r="A13" s="12" t="s">
        <v>19</v>
      </c>
      <c r="B13" s="13" t="s">
        <v>64</v>
      </c>
      <c r="C13" s="8"/>
      <c r="D13" s="18"/>
      <c r="E13" s="15"/>
      <c r="F13" s="8"/>
      <c r="G13" s="6"/>
      <c r="H13" s="6"/>
    </row>
    <row r="14" ht="21.75" customHeight="1">
      <c r="A14" s="12" t="s">
        <v>20</v>
      </c>
      <c r="B14" s="13" t="s">
        <v>65</v>
      </c>
      <c r="C14" s="8"/>
      <c r="D14" s="18"/>
      <c r="E14" s="15"/>
      <c r="F14" s="8"/>
      <c r="G14" s="6"/>
      <c r="H14" s="6"/>
    </row>
    <row r="15" ht="21.75" customHeight="1">
      <c r="A15" s="12" t="s">
        <v>66</v>
      </c>
      <c r="B15" s="13" t="s">
        <v>67</v>
      </c>
      <c r="C15" s="8"/>
      <c r="D15" s="18"/>
      <c r="E15" s="15"/>
      <c r="F15" s="8"/>
      <c r="G15" s="6"/>
      <c r="H15" s="6"/>
    </row>
    <row r="16" ht="21.75" customHeight="1">
      <c r="A16" s="12" t="s">
        <v>66</v>
      </c>
      <c r="B16" s="13" t="s">
        <v>67</v>
      </c>
      <c r="C16" s="8"/>
      <c r="D16" s="18"/>
      <c r="E16" s="15"/>
      <c r="F16" s="8"/>
      <c r="G16" s="6"/>
      <c r="H16" s="6"/>
    </row>
    <row r="17" ht="7.5" customHeight="1"/>
    <row r="18" ht="7.5" customHeight="1">
      <c r="A18" s="21" t="s">
        <v>68</v>
      </c>
      <c r="B18" s="2"/>
      <c r="C18" s="2"/>
      <c r="D18" s="2"/>
      <c r="E18" s="2"/>
      <c r="F18" s="2"/>
      <c r="G18" s="2"/>
      <c r="H18" s="3"/>
    </row>
    <row r="19" ht="7.5" customHeight="1">
      <c r="A19" s="22" t="s">
        <v>68</v>
      </c>
      <c r="B19" s="23"/>
      <c r="C19" s="23"/>
      <c r="D19" s="23"/>
      <c r="E19" s="23"/>
      <c r="F19" s="23"/>
      <c r="G19" s="23"/>
      <c r="H19" s="24"/>
    </row>
    <row r="20" ht="7.5" customHeight="1">
      <c r="A20" s="25" t="s">
        <v>69</v>
      </c>
      <c r="B20" s="23"/>
      <c r="C20" s="23"/>
      <c r="D20" s="23"/>
      <c r="E20" s="23"/>
      <c r="F20" s="23"/>
      <c r="G20" s="23"/>
      <c r="H20" s="24"/>
    </row>
    <row r="21" ht="7.5" customHeight="1">
      <c r="A21" s="25" t="s">
        <v>70</v>
      </c>
      <c r="B21" s="23"/>
      <c r="C21" s="23"/>
      <c r="D21" s="23"/>
      <c r="E21" s="23"/>
      <c r="F21" s="23"/>
      <c r="G21" s="23"/>
      <c r="H21" s="24"/>
    </row>
    <row r="22" ht="54.0" customHeight="1">
      <c r="A22" s="26"/>
      <c r="B22" s="23"/>
      <c r="C22" s="23"/>
      <c r="D22" s="23"/>
      <c r="E22" s="23"/>
      <c r="F22" s="23"/>
      <c r="G22" s="23"/>
      <c r="H22" s="2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H1"/>
    <mergeCell ref="A2:H2"/>
    <mergeCell ref="A18:H18"/>
    <mergeCell ref="A19:H19"/>
    <mergeCell ref="A20:H20"/>
    <mergeCell ref="A21:H21"/>
    <mergeCell ref="A22:H22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2.0"/>
    <col customWidth="1" min="2" max="3" width="14.0"/>
    <col customWidth="1" min="4" max="4" width="18.0"/>
    <col customWidth="1" min="5" max="5" width="28.0"/>
    <col customWidth="1" min="6" max="26" width="8.71"/>
  </cols>
  <sheetData>
    <row r="1" ht="30.0" customHeight="1">
      <c r="A1" s="1" t="s">
        <v>71</v>
      </c>
      <c r="B1" s="2"/>
      <c r="C1" s="2"/>
      <c r="D1" s="2"/>
      <c r="E1" s="3"/>
    </row>
    <row r="2" ht="15.75" customHeight="1">
      <c r="A2" s="4" t="s">
        <v>72</v>
      </c>
      <c r="B2" s="2"/>
      <c r="C2" s="2"/>
      <c r="D2" s="2"/>
      <c r="E2" s="3"/>
    </row>
    <row r="3" ht="7.5" customHeight="1"/>
    <row r="4">
      <c r="A4" s="11" t="s">
        <v>73</v>
      </c>
      <c r="B4" s="11" t="s">
        <v>74</v>
      </c>
      <c r="C4" s="11" t="s">
        <v>75</v>
      </c>
      <c r="D4" s="11" t="s">
        <v>76</v>
      </c>
      <c r="E4" s="11" t="s">
        <v>31</v>
      </c>
    </row>
    <row r="5" ht="15.75" customHeight="1">
      <c r="A5" s="28" t="s">
        <v>77</v>
      </c>
      <c r="B5" s="2"/>
      <c r="C5" s="2"/>
      <c r="D5" s="2"/>
      <c r="E5" s="3"/>
    </row>
    <row r="6" ht="19.5" customHeight="1">
      <c r="A6" s="12" t="s">
        <v>78</v>
      </c>
      <c r="B6" s="29">
        <v>228.0</v>
      </c>
      <c r="C6" s="29"/>
      <c r="D6" s="30"/>
      <c r="E6" s="31" t="s">
        <v>79</v>
      </c>
    </row>
    <row r="7" ht="19.5" customHeight="1">
      <c r="A7" s="12" t="s">
        <v>80</v>
      </c>
      <c r="B7" s="29">
        <v>35.0</v>
      </c>
      <c r="C7" s="29">
        <v>25.0</v>
      </c>
      <c r="D7" s="30">
        <f>B7*C7</f>
        <v>875</v>
      </c>
      <c r="E7" s="31" t="s">
        <v>81</v>
      </c>
    </row>
    <row r="8" ht="19.5" customHeight="1">
      <c r="A8" s="12" t="s">
        <v>82</v>
      </c>
      <c r="B8" s="32"/>
      <c r="C8" s="29"/>
      <c r="D8" s="30">
        <f>D7+B6</f>
        <v>1103</v>
      </c>
      <c r="E8" s="31"/>
    </row>
    <row r="9" ht="15.75" customHeight="1">
      <c r="A9" s="33" t="s">
        <v>83</v>
      </c>
      <c r="B9" s="2"/>
      <c r="C9" s="2"/>
      <c r="D9" s="2"/>
      <c r="E9" s="3"/>
    </row>
    <row r="10" ht="19.5" customHeight="1">
      <c r="A10" s="12" t="s">
        <v>84</v>
      </c>
      <c r="B10" s="29"/>
      <c r="C10" s="29">
        <v>30.0</v>
      </c>
      <c r="D10" s="30">
        <f t="shared" ref="D10:D13" si="1">B10*C10</f>
        <v>0</v>
      </c>
      <c r="E10" s="31" t="s">
        <v>85</v>
      </c>
    </row>
    <row r="11" ht="19.5" customHeight="1">
      <c r="A11" s="12" t="s">
        <v>86</v>
      </c>
      <c r="B11" s="29"/>
      <c r="C11" s="29">
        <v>15.0</v>
      </c>
      <c r="D11" s="30">
        <f t="shared" si="1"/>
        <v>0</v>
      </c>
      <c r="E11" s="31" t="s">
        <v>87</v>
      </c>
    </row>
    <row r="12" ht="19.5" customHeight="1">
      <c r="A12" s="12" t="s">
        <v>88</v>
      </c>
      <c r="B12" s="29"/>
      <c r="C12" s="29">
        <v>5.0</v>
      </c>
      <c r="D12" s="30">
        <f t="shared" si="1"/>
        <v>0</v>
      </c>
      <c r="E12" s="31" t="s">
        <v>89</v>
      </c>
    </row>
    <row r="13" ht="19.5" customHeight="1">
      <c r="A13" s="12" t="s">
        <v>90</v>
      </c>
      <c r="B13" s="29"/>
      <c r="C13" s="29">
        <v>10.0</v>
      </c>
      <c r="D13" s="30">
        <f t="shared" si="1"/>
        <v>0</v>
      </c>
      <c r="E13" s="31" t="s">
        <v>91</v>
      </c>
    </row>
    <row r="14" ht="19.5" customHeight="1">
      <c r="A14" s="34" t="s">
        <v>92</v>
      </c>
      <c r="B14" s="29"/>
      <c r="C14" s="29"/>
      <c r="D14" s="30">
        <f>SUM(D10:D13)</f>
        <v>0</v>
      </c>
      <c r="E14" s="31"/>
    </row>
    <row r="15" ht="7.5" customHeight="1"/>
    <row r="16" ht="24.0" customHeight="1">
      <c r="A16" s="35" t="s">
        <v>93</v>
      </c>
      <c r="B16" s="2"/>
      <c r="C16" s="3"/>
      <c r="D16" s="36">
        <f>D14/D8</f>
        <v>0</v>
      </c>
      <c r="E16" s="37" t="s">
        <v>94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E1"/>
    <mergeCell ref="A2:E2"/>
    <mergeCell ref="A5:E5"/>
    <mergeCell ref="A9:E9"/>
    <mergeCell ref="A16:C16"/>
  </mergeCells>
  <printOptions/>
  <pageMargins bottom="1.0" footer="0.0" header="0.0" left="0.75" right="0.75" top="1.0"/>
  <pageSetup paperSize="9" orientation="portrait"/>
  <drawing r:id="rId1"/>
</worksheet>
</file>