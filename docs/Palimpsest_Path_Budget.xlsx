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Budget" sheetId="1" r:id="rId4"/>
  </sheets>
  <definedNames/>
  <calcPr/>
  <extLst>
    <ext uri="GoogleSheetsCustomDataVersion2">
      <go:sheetsCustomData xmlns:go="http://customooxmlschemas.google.com/" r:id="rId5" roundtripDataChecksum="z1z+bKSfQ0n4zUPp5T1sitcp493C8drhrLSxK5kiAN0="/>
    </ext>
  </extLst>
</workbook>
</file>

<file path=xl/sharedStrings.xml><?xml version="1.0" encoding="utf-8"?>
<sst xmlns="http://schemas.openxmlformats.org/spreadsheetml/2006/main" count="135" uniqueCount="114">
  <si>
    <t>The Palimpsest Path — Project Budget</t>
  </si>
  <si>
    <t>Cygnet Boardwalk  |  Peter Shanks  |  FXA301 Arts in the Community, UTAS</t>
  </si>
  <si>
    <t>Blue text = hardcoded input (editable)     Black text = formula (calculated)     Yellow background = cell needs verification before ordering</t>
  </si>
  <si>
    <t>Item</t>
  </si>
  <si>
    <t>Source / Notes</t>
  </si>
  <si>
    <t>Qty</t>
  </si>
  <si>
    <t>Unit Cost (AUD)</t>
  </si>
  <si>
    <t>Total (AUD)</t>
  </si>
  <si>
    <t>Status</t>
  </si>
  <si>
    <t>AliExpress Link / SKU</t>
  </si>
  <si>
    <t>A — Electronics  (AliExpress — allow 3–5 weeks delivery)</t>
  </si>
  <si>
    <t>Raspberry Pi Pico (×2)</t>
  </si>
  <si>
    <t>2 units for gallery entrance &amp; exit. No Wi-Fi needed; lower power draw than ESP32. Buy with pins pre-soldered (Pico Micro Welding variant).</t>
  </si>
  <si>
    <t>To order</t>
  </si>
  <si>
    <t>https://www.aliexpress.com/item/1005008948799927.html — Pico Micro Welding variant</t>
  </si>
  <si>
    <t>E18-D80NK IR proximity sensors</t>
  </si>
  <si>
    <t>2 pairs per unit = 8 sensors total. Outdoor rated, up to 80 cm range.</t>
  </si>
  <si>
    <t>https://www.aliexpress.com/item/1005008405979931.html — SZFYD E18-D80NK 4.9★ 3000+ sold</t>
  </si>
  <si>
    <t>SPI MicroSD adapter module</t>
  </si>
  <si>
    <t>1 per microcontroller, standard SPI wiring.</t>
  </si>
  <si>
    <t>https://www.aliexpress.com/item/1005006860885854.html — HongWeiWei SD Read-Write Module 4.9★ 10000+ sold</t>
  </si>
  <si>
    <t>MicroSD cards 8 GB Class 10</t>
  </si>
  <si>
    <t>Buy 4: 2 active + 2 spares for weekly swap. ⚠ Verify capacity with H2testw on arrival — reviews note fake capacity risk.</t>
  </si>
  <si>
    <t>To order ⚠</t>
  </si>
  <si>
    <t>https://www.aliexpress.com/item/1005001617961938.html — OLEVO microSD Class10. Select 8 GB variant.</t>
  </si>
  <si>
    <t>DS3231 RTC module</t>
  </si>
  <si>
    <t>Real-time clock; maintains timestamps after power loss.</t>
  </si>
  <si>
    <r>
      <rPr>
        <rFont val="Arial"/>
        <color rgb="FF1155CC"/>
        <sz val="8.0"/>
        <u/>
      </rPr>
      <t>https://www.aliexpress.com/item/1005007143596890.html</t>
    </r>
    <r>
      <rPr>
        <rFont val="Arial"/>
        <color rgb="FF1F4E79"/>
        <sz val="8.0"/>
        <u/>
      </rPr>
      <t xml:space="preserve"> — REALPOW DS3231 AT24C32 IIC 4.9★ 5000+ sold</t>
    </r>
  </si>
  <si>
    <t>18650 LiPo battery 3000 mAh</t>
  </si>
  <si>
    <t>LiitoKala HG2. Sold in 2-packs @ AUD $18.09 (= $9.05 each). ⚠ Budget originally estimated $2.20 — actual $9.05. Consider 2 cells only (1 active + 1 spare) to reduce cost.</t>
  </si>
  <si>
    <t>https://www.aliexpress.com/item/1005005626511234.html — LiitoKala HG2 18650 3000mAh 4.9★ 5000+ sold. Buy 2-pack = AUD $18.09</t>
  </si>
  <si>
    <t>TP4056 battery charge/protect module</t>
  </si>
  <si>
    <t>Safe charging for 18650 cells. Type-C variant with protection circuit.</t>
  </si>
  <si>
    <t>https://www.aliexpress.com/item/1005007540145256.html — Type-C TP4056 with protection 4.9★ 45000+ sold</t>
  </si>
  <si>
    <t>Dupont jumper wires &amp; proto board</t>
  </si>
  <si>
    <t>For sensor wiring and breadboard prototyping.</t>
  </si>
  <si>
    <t>https://www.aliexpress.com/item/4000203371860.html — 40–120 pc Dupont M-M/M-F/F-F 10–30 cm 4.9★ 10000+ sold</t>
  </si>
  <si>
    <t>Misc: heat shrink, cable glands, terminal blocks</t>
  </si>
  <si>
    <t>Weatherproofing and secure connections. Cable glands and terminal blocks may need to be sourced locally (Jaycar/Bunnings).</t>
  </si>
  <si>
    <t>https://www.aliexpress.com/item/1005006863956051.html — 164/328 pc Heat Shrink Tube Kit 2:1. Cable glands: source locally.</t>
  </si>
  <si>
    <t>Section A Subtotal</t>
  </si>
  <si>
    <t>B — Sensor Enclosures  (IP65 ABS)</t>
  </si>
  <si>
    <t>IP65 ABS weatherproof enclosure 150×100×70 mm</t>
  </si>
  <si>
    <t>One per sensor unit. Select correct size variant at checkout.</t>
  </si>
  <si>
    <t>https://www.aliexpress.com/item/1005007103850967.html — DEEVECI IP67 ABS Waterproof Enclosure, 158×90×64 mm variant. 4.9★ 5000+ sold. ⚠ Select correct size.</t>
  </si>
  <si>
    <t>Stainless steel hose clamps / mounting brackets</t>
  </si>
  <si>
    <t>304 stainless. For secure bannister attachment. Select 40 mm range variant.</t>
  </si>
  <si>
    <t>https://www.aliexpress.com/item/1005007450774386.html — LOBZI 304 SS Hose Clamps 17–252 mm adjustable 4.8★ 10K+ sold</t>
  </si>
  <si>
    <t>Silicone sealant — neutral cure</t>
  </si>
  <si>
    <t>For cable entry weatherproofing. Do NOT use acid-cure (corrodes electronics). Available at Bunnings.</t>
  </si>
  <si>
    <t>Hardware store</t>
  </si>
  <si>
    <t>Section B Subtotal</t>
  </si>
  <si>
    <t>C — Chalk Stations  (timber, self-build)</t>
  </si>
  <si>
    <t>Treated pine DAR 90×19 mm — approx 6 lineal metres</t>
  </si>
  <si>
    <t>For 2 chalk station boxes (main + spare). Offcuts from timber yard.</t>
  </si>
  <si>
    <t>Exterior-grade ply 9 mm — 600×600 mm sheet</t>
  </si>
  <si>
    <t>Lid panels.</t>
  </si>
  <si>
    <t>Stainless screws, hinges, hasp latch</t>
  </si>
  <si>
    <t>Stainless for boardwalk/coastal environment.</t>
  </si>
  <si>
    <t>Exterior paint or decking oil (small tin)</t>
  </si>
  <si>
    <t>Weatherproofing — ochre or green to match boardwalk palette.</t>
  </si>
  <si>
    <t>Bannister mounting clamps / brackets</t>
  </si>
  <si>
    <t>For attaching chalk station boxes to bannister rail.</t>
  </si>
  <si>
    <t>Section C Subtotal</t>
  </si>
  <si>
    <t>D — Chalk &amp; Art Materials</t>
  </si>
  <si>
    <t>Calcium carbonate chalk — bulk (blues, greens, ochres, white)</t>
  </si>
  <si>
    <t>Earth-safe, non-toxic, pH-neutral. Use 36/48-colour set for full palette range.</t>
  </si>
  <si>
    <t>https://www.aliexpress.com/item/1005010037242682.html — 12/24/36/48 Colours Soft Pastel Chalk Sticks 4.9★ 1000+ sold (AUD $7.09 per 12-colour set)</t>
  </si>
  <si>
    <t>Small chalkboard panels (for prompt display)</t>
  </si>
  <si>
    <t>One per chalk station. Wooden mini chalkboard with easel stands — attach to box exterior.</t>
  </si>
  <si>
    <t>AliExpress</t>
  </si>
  <si>
    <t>https://www.aliexpress.com/item/1005006690689947.html — Wooden Mini Chalkboard 10 pcs/set with easel stands 4.7★ 2000+ sold (AUD $5.15 per 10-pack = $0.52 each)</t>
  </si>
  <si>
    <t>Chalk marker pens (for prompt signage)</t>
  </si>
  <si>
    <t>For writing weekly prompts on chalkboard panels.</t>
  </si>
  <si>
    <t>Stationery / art supply</t>
  </si>
  <si>
    <t>Section D Subtotal</t>
  </si>
  <si>
    <t>E — Signage &amp; Print  (home print + laminate)</t>
  </si>
  <si>
    <t>A4/A5 inkjet photo paper (glossy)</t>
  </si>
  <si>
    <t>For QR code signage printing. 20-sheet pack.</t>
  </si>
  <si>
    <t>Office supply</t>
  </si>
  <si>
    <t>Laminator pouches A5 — 125 micron (pack of 25)</t>
  </si>
  <si>
    <t>Minimum 125 micron for outdoor durability.</t>
  </si>
  <si>
    <t>QR postcards — home print A6</t>
  </si>
  <si>
    <t>Bulk postcard-size for shopkeeper distribution.</t>
  </si>
  <si>
    <t>Home print</t>
  </si>
  <si>
    <t>Cable ties / zip ties for signage mounting</t>
  </si>
  <si>
    <t>Attaching laminated signs to boardwalk structures.</t>
  </si>
  <si>
    <t>Section E Subtotal</t>
  </si>
  <si>
    <t>F — Digital Infrastructure  (sidewalkcircus.org)</t>
  </si>
  <si>
    <t>WordPress hosting</t>
  </si>
  <si>
    <t>sidewalkcircus.org basic shared hosting. Skip if domain/hosting already active.</t>
  </si>
  <si>
    <t>Existing / TBC</t>
  </si>
  <si>
    <t>⚠ Verify current hosting status before ordering</t>
  </si>
  <si>
    <t>Domain renewal (sidewalkcircus.org)</t>
  </si>
  <si>
    <t>Annual renewal if due during project period.</t>
  </si>
  <si>
    <t>⚠ Check renewal date</t>
  </si>
  <si>
    <t>WPForms free tier</t>
  </si>
  <si>
    <t>Submission form for photo gallery upload.</t>
  </si>
  <si>
    <t>Free</t>
  </si>
  <si>
    <t>QR code generation</t>
  </si>
  <si>
    <t>Free via qr-code-generator.com or similar.</t>
  </si>
  <si>
    <t>Section F Subtotal</t>
  </si>
  <si>
    <t>G — Contingency (10%)</t>
  </si>
  <si>
    <t>Hardware contingency — sensor failure, replacement parts</t>
  </si>
  <si>
    <t>Replace one complete sensor unit if damaged by weather or vandalism.</t>
  </si>
  <si>
    <t>Reserve</t>
  </si>
  <si>
    <t>Chalk contingency — high-engagement weeks</t>
  </si>
  <si>
    <t>Extra chalk if participation exceeds expectations.</t>
  </si>
  <si>
    <t>Signage reprint — weather damage</t>
  </si>
  <si>
    <t>Reprint 2–3 laminated signs if delamination occurs.</t>
  </si>
  <si>
    <t>Section G Subtotal</t>
  </si>
  <si>
    <t>TOTAL PROJECT BUDGET (AUD)</t>
  </si>
  <si>
    <t>Notes: All AliExpress prices are estimates in AUD at approximately 0.65 USD/AUD exchange rate. Allow 3–5 weeks for delivery. Blue text = editable input. Black text = calculated formula. Yellow background = requires manual verification before ordering. ⚠ flags indicate items where actual prices differed significantly from original estimates.</t>
  </si>
  <si>
    <t>Australian fallback suppliers (if AliExpress delivery delayed past Phase 0 Week 2): Jaycar Electronics (Hobart store) or Core Electronics (online). Higher cost (~AUD $25–35/unit vs ~$8–10) but immediate availability.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</si>
</sst>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DEEAF1"/>
      <name val="Arial"/>
    </font>
    <font>
      <i/>
      <sz val="8.0"/>
      <color rgb="FF595959"/>
      <name val="Arial"/>
    </font>
    <font>
      <b/>
      <sz val="10.0"/>
      <color rgb="FFFFFFFF"/>
      <name val="Arial"/>
    </font>
    <font>
      <sz val="11.0"/>
      <color theme="1"/>
      <name val="Calibri"/>
    </font>
    <font>
      <sz val="9.0"/>
      <color rgb="FF1F4E79"/>
      <name val="Arial"/>
    </font>
    <font>
      <i/>
      <sz val="8.0"/>
      <color rgb="FF404040"/>
      <name val="Arial"/>
    </font>
    <font>
      <b/>
      <sz val="10.0"/>
      <color rgb="FF1F4E79"/>
      <name val="Arial"/>
    </font>
    <font>
      <sz val="10.0"/>
      <color rgb="FF000000"/>
      <name val="Arial"/>
    </font>
    <font>
      <sz val="8.0"/>
      <color rgb="FF595959"/>
      <name val="Arial"/>
    </font>
    <font>
      <u/>
      <sz val="8.0"/>
      <color rgb="FF1F4E79"/>
      <name val="Arial"/>
    </font>
    <font>
      <u/>
      <sz val="8.0"/>
      <color rgb="FF1F4E79"/>
      <name val="Arial"/>
    </font>
    <font>
      <sz val="8.0"/>
      <color rgb="FFC00000"/>
      <name val="Arial"/>
    </font>
    <font>
      <u/>
      <sz val="8.0"/>
      <color rgb="FF1F4E79"/>
      <name val="Arial"/>
    </font>
    <font>
      <b/>
      <sz val="10.0"/>
      <color rgb="FF2E75B6"/>
      <name val="Arial"/>
    </font>
    <font>
      <sz val="8.0"/>
      <color rgb="FF375623"/>
      <name val="Arial"/>
    </font>
    <font>
      <i/>
      <sz val="8.0"/>
      <color rgb="FFC00000"/>
      <name val="Arial"/>
    </font>
    <font>
      <b/>
      <sz val="12.0"/>
      <color rgb="FFFFFFFF"/>
      <name val="Arial"/>
    </font>
    <font>
      <b/>
      <sz val="13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E75B6"/>
      </left>
      <top style="thin">
        <color rgb="FF2E75B6"/>
      </top>
      <bottom style="thin">
        <color rgb="FF2E75B6"/>
      </bottom>
    </border>
    <border>
      <top style="thin">
        <color rgb="FF2E75B6"/>
      </top>
      <bottom style="thin">
        <color rgb="FF2E75B6"/>
      </bottom>
    </border>
    <border>
      <right style="thin">
        <color rgb="FF2E75B6"/>
      </right>
      <top style="thin">
        <color rgb="FF2E75B6"/>
      </top>
      <bottom style="thin">
        <color rgb="FF2E75B6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4" fillId="2" fontId="5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center" vertical="center"/>
    </xf>
    <xf borderId="5" fillId="2" fontId="6" numFmtId="0" xfId="0" applyBorder="1" applyFont="1"/>
    <xf borderId="1" fillId="2" fontId="5" numFmtId="0" xfId="0" applyAlignment="1" applyBorder="1" applyFont="1">
      <alignment horizontal="left" vertical="center"/>
    </xf>
    <xf borderId="5" fillId="3" fontId="6" numFmtId="0" xfId="0" applyBorder="1" applyFill="1" applyFont="1"/>
    <xf borderId="6" fillId="3" fontId="7" numFmtId="0" xfId="0" applyAlignment="1" applyBorder="1" applyFont="1">
      <alignment horizontal="left" shrinkToFit="0" vertical="center" wrapText="1"/>
    </xf>
    <xf borderId="6" fillId="3" fontId="8" numFmtId="0" xfId="0" applyAlignment="1" applyBorder="1" applyFont="1">
      <alignment horizontal="left" shrinkToFit="0" vertical="top" wrapText="1"/>
    </xf>
    <xf borderId="6" fillId="3" fontId="9" numFmtId="1" xfId="0" applyAlignment="1" applyBorder="1" applyFont="1" applyNumberFormat="1">
      <alignment horizontal="center" vertical="center"/>
    </xf>
    <xf borderId="6" fillId="3" fontId="9" numFmtId="44" xfId="0" applyAlignment="1" applyBorder="1" applyFont="1" applyNumberFormat="1">
      <alignment horizontal="right" vertical="center"/>
    </xf>
    <xf borderId="6" fillId="3" fontId="10" numFmtId="44" xfId="0" applyAlignment="1" applyBorder="1" applyFont="1" applyNumberFormat="1">
      <alignment horizontal="right" vertical="center"/>
    </xf>
    <xf borderId="6" fillId="3" fontId="11" numFmtId="0" xfId="0" applyAlignment="1" applyBorder="1" applyFont="1">
      <alignment horizontal="center" shrinkToFit="0" vertical="center" wrapText="1"/>
    </xf>
    <xf borderId="6" fillId="3" fontId="12" numFmtId="0" xfId="0" applyAlignment="1" applyBorder="1" applyFont="1">
      <alignment horizontal="left" shrinkToFit="0" vertical="top" wrapText="1"/>
    </xf>
    <xf borderId="5" fillId="4" fontId="6" numFmtId="0" xfId="0" applyBorder="1" applyFill="1" applyFont="1"/>
    <xf borderId="6" fillId="4" fontId="7" numFmtId="0" xfId="0" applyAlignment="1" applyBorder="1" applyFont="1">
      <alignment horizontal="left" shrinkToFit="0" vertical="center" wrapText="1"/>
    </xf>
    <xf borderId="6" fillId="4" fontId="8" numFmtId="0" xfId="0" applyAlignment="1" applyBorder="1" applyFont="1">
      <alignment horizontal="left" shrinkToFit="0" vertical="top" wrapText="1"/>
    </xf>
    <xf borderId="6" fillId="4" fontId="9" numFmtId="1" xfId="0" applyAlignment="1" applyBorder="1" applyFont="1" applyNumberFormat="1">
      <alignment horizontal="center" vertical="center"/>
    </xf>
    <xf borderId="6" fillId="4" fontId="9" numFmtId="44" xfId="0" applyAlignment="1" applyBorder="1" applyFont="1" applyNumberFormat="1">
      <alignment horizontal="right" vertical="center"/>
    </xf>
    <xf borderId="6" fillId="4" fontId="10" numFmtId="44" xfId="0" applyAlignment="1" applyBorder="1" applyFont="1" applyNumberFormat="1">
      <alignment horizontal="right" vertical="center"/>
    </xf>
    <xf borderId="6" fillId="4" fontId="11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left" shrinkToFit="0" vertical="top" wrapText="1"/>
    </xf>
    <xf borderId="6" fillId="4" fontId="14" numFmtId="0" xfId="0" applyAlignment="1" applyBorder="1" applyFont="1">
      <alignment horizontal="center" shrinkToFit="0" vertical="center" wrapText="1"/>
    </xf>
    <xf borderId="6" fillId="3" fontId="15" numFmtId="0" xfId="0" applyAlignment="1" applyBorder="1" applyFont="1">
      <alignment horizontal="left" readingOrder="0" shrinkToFit="0" vertical="top" wrapText="1"/>
    </xf>
    <xf borderId="5" fillId="5" fontId="6" numFmtId="0" xfId="0" applyBorder="1" applyFill="1" applyFont="1"/>
    <xf borderId="7" fillId="5" fontId="16" numFmtId="0" xfId="0" applyAlignment="1" applyBorder="1" applyFont="1">
      <alignment horizontal="right" vertical="center"/>
    </xf>
    <xf borderId="8" fillId="0" fontId="2" numFmtId="0" xfId="0" applyBorder="1" applyFont="1"/>
    <xf borderId="9" fillId="0" fontId="2" numFmtId="0" xfId="0" applyBorder="1" applyFont="1"/>
    <xf borderId="6" fillId="5" fontId="16" numFmtId="44" xfId="0" applyAlignment="1" applyBorder="1" applyFont="1" applyNumberFormat="1">
      <alignment horizontal="right" vertical="center"/>
    </xf>
    <xf borderId="6" fillId="5" fontId="6" numFmtId="0" xfId="0" applyBorder="1" applyFont="1"/>
    <xf borderId="6" fillId="3" fontId="4" numFmtId="0" xfId="0" applyAlignment="1" applyBorder="1" applyFont="1">
      <alignment horizontal="left" shrinkToFit="0" vertical="top" wrapText="1"/>
    </xf>
    <xf borderId="6" fillId="4" fontId="4" numFmtId="0" xfId="0" applyAlignment="1" applyBorder="1" applyFont="1">
      <alignment horizontal="left" shrinkToFit="0" vertical="top" wrapText="1"/>
    </xf>
    <xf borderId="6" fillId="3" fontId="17" numFmtId="0" xfId="0" applyAlignment="1" applyBorder="1" applyFont="1">
      <alignment horizontal="center" shrinkToFit="0" vertical="center" wrapText="1"/>
    </xf>
    <xf borderId="6" fillId="6" fontId="18" numFmtId="0" xfId="0" applyAlignment="1" applyBorder="1" applyFill="1" applyFont="1">
      <alignment horizontal="left" shrinkToFit="0" vertical="top" wrapText="1"/>
    </xf>
    <xf borderId="6" fillId="4" fontId="17" numFmtId="0" xfId="0" applyAlignment="1" applyBorder="1" applyFont="1">
      <alignment horizontal="center" shrinkToFit="0" vertical="center" wrapText="1"/>
    </xf>
    <xf borderId="10" fillId="2" fontId="19" numFmtId="0" xfId="0" applyAlignment="1" applyBorder="1" applyFont="1">
      <alignment horizontal="right" vertical="center"/>
    </xf>
    <xf borderId="11" fillId="0" fontId="2" numFmtId="0" xfId="0" applyBorder="1" applyFont="1"/>
    <xf borderId="12" fillId="0" fontId="2" numFmtId="0" xfId="0" applyBorder="1" applyFont="1"/>
    <xf borderId="4" fillId="2" fontId="20" numFmtId="44" xfId="0" applyAlignment="1" applyBorder="1" applyFont="1" applyNumberFormat="1">
      <alignment horizontal="right" vertical="center"/>
    </xf>
    <xf borderId="4" fillId="2" fontId="6" numFmtId="0" xfId="0" applyBorder="1" applyFont="1"/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7143596890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3" width="42.0"/>
    <col customWidth="1" min="4" max="4" width="7.0"/>
    <col customWidth="1" min="5" max="6" width="14.0"/>
    <col customWidth="1" min="7" max="7" width="12.0"/>
    <col customWidth="1" min="8" max="8" width="55.0"/>
    <col customWidth="1" min="9" max="26" width="8.71"/>
  </cols>
  <sheetData>
    <row r="1" ht="30.0" customHeight="1">
      <c r="B1" s="1" t="s">
        <v>0</v>
      </c>
      <c r="C1" s="2"/>
      <c r="D1" s="2"/>
      <c r="E1" s="2"/>
      <c r="F1" s="2"/>
      <c r="G1" s="2"/>
      <c r="H1" s="3"/>
    </row>
    <row r="2" ht="15.75" customHeight="1">
      <c r="B2" s="4" t="s">
        <v>1</v>
      </c>
      <c r="C2" s="2"/>
      <c r="D2" s="2"/>
      <c r="E2" s="2"/>
      <c r="F2" s="2"/>
      <c r="G2" s="2"/>
      <c r="H2" s="3"/>
    </row>
    <row r="3" ht="13.5" customHeight="1">
      <c r="B3" s="5" t="s">
        <v>2</v>
      </c>
    </row>
    <row r="4" ht="6.0" customHeight="1"/>
    <row r="5" ht="19.5" customHeight="1">
      <c r="A5" s="6"/>
      <c r="B5" s="6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</row>
    <row r="6" ht="18.0" customHeight="1">
      <c r="A6" s="8"/>
      <c r="B6" s="9" t="s">
        <v>10</v>
      </c>
      <c r="C6" s="2"/>
      <c r="D6" s="2"/>
      <c r="E6" s="2"/>
      <c r="F6" s="2"/>
      <c r="G6" s="2"/>
      <c r="H6" s="3"/>
    </row>
    <row r="7" ht="45.0" customHeight="1">
      <c r="A7" s="10"/>
      <c r="B7" s="11" t="s">
        <v>11</v>
      </c>
      <c r="C7" s="12" t="s">
        <v>12</v>
      </c>
      <c r="D7" s="13">
        <v>2.0</v>
      </c>
      <c r="E7" s="14">
        <v>5.44</v>
      </c>
      <c r="F7" s="15">
        <f t="shared" ref="F7:F15" si="1">D7*E7</f>
        <v>10.88</v>
      </c>
      <c r="G7" s="16" t="s">
        <v>13</v>
      </c>
      <c r="H7" s="17" t="s">
        <v>14</v>
      </c>
    </row>
    <row r="8" ht="45.0" customHeight="1">
      <c r="A8" s="18"/>
      <c r="B8" s="19" t="s">
        <v>15</v>
      </c>
      <c r="C8" s="20" t="s">
        <v>16</v>
      </c>
      <c r="D8" s="21">
        <v>8.0</v>
      </c>
      <c r="E8" s="22">
        <v>3.54</v>
      </c>
      <c r="F8" s="23">
        <f t="shared" si="1"/>
        <v>28.32</v>
      </c>
      <c r="G8" s="24" t="s">
        <v>13</v>
      </c>
      <c r="H8" s="25" t="s">
        <v>17</v>
      </c>
    </row>
    <row r="9" ht="45.0" customHeight="1">
      <c r="A9" s="10"/>
      <c r="B9" s="11" t="s">
        <v>18</v>
      </c>
      <c r="C9" s="12" t="s">
        <v>19</v>
      </c>
      <c r="D9" s="13">
        <v>2.0</v>
      </c>
      <c r="E9" s="14">
        <v>1.64</v>
      </c>
      <c r="F9" s="15">
        <f t="shared" si="1"/>
        <v>3.28</v>
      </c>
      <c r="G9" s="16" t="s">
        <v>13</v>
      </c>
      <c r="H9" s="17" t="s">
        <v>20</v>
      </c>
    </row>
    <row r="10" ht="45.0" customHeight="1">
      <c r="A10" s="18"/>
      <c r="B10" s="19" t="s">
        <v>21</v>
      </c>
      <c r="C10" s="20" t="s">
        <v>22</v>
      </c>
      <c r="D10" s="21">
        <v>4.0</v>
      </c>
      <c r="E10" s="22">
        <v>1.71</v>
      </c>
      <c r="F10" s="23">
        <f t="shared" si="1"/>
        <v>6.84</v>
      </c>
      <c r="G10" s="26" t="s">
        <v>23</v>
      </c>
      <c r="H10" s="25" t="s">
        <v>24</v>
      </c>
    </row>
    <row r="11" ht="45.0" customHeight="1">
      <c r="A11" s="10"/>
      <c r="B11" s="11" t="s">
        <v>25</v>
      </c>
      <c r="C11" s="12" t="s">
        <v>26</v>
      </c>
      <c r="D11" s="13">
        <v>2.0</v>
      </c>
      <c r="E11" s="14">
        <v>4.11</v>
      </c>
      <c r="F11" s="15">
        <f t="shared" si="1"/>
        <v>8.22</v>
      </c>
      <c r="G11" s="16" t="s">
        <v>13</v>
      </c>
      <c r="H11" s="27" t="s">
        <v>27</v>
      </c>
    </row>
    <row r="12" ht="45.0" customHeight="1">
      <c r="A12" s="18"/>
      <c r="B12" s="19" t="s">
        <v>28</v>
      </c>
      <c r="C12" s="20" t="s">
        <v>29</v>
      </c>
      <c r="D12" s="21">
        <v>4.0</v>
      </c>
      <c r="E12" s="22">
        <v>9.05</v>
      </c>
      <c r="F12" s="23">
        <f t="shared" si="1"/>
        <v>36.2</v>
      </c>
      <c r="G12" s="26" t="s">
        <v>23</v>
      </c>
      <c r="H12" s="25" t="s">
        <v>30</v>
      </c>
    </row>
    <row r="13" ht="45.0" customHeight="1">
      <c r="A13" s="10"/>
      <c r="B13" s="11" t="s">
        <v>31</v>
      </c>
      <c r="C13" s="12" t="s">
        <v>32</v>
      </c>
      <c r="D13" s="13">
        <v>2.0</v>
      </c>
      <c r="E13" s="14">
        <v>1.46</v>
      </c>
      <c r="F13" s="15">
        <f t="shared" si="1"/>
        <v>2.92</v>
      </c>
      <c r="G13" s="16" t="s">
        <v>13</v>
      </c>
      <c r="H13" s="17" t="s">
        <v>33</v>
      </c>
    </row>
    <row r="14" ht="45.0" customHeight="1">
      <c r="A14" s="18"/>
      <c r="B14" s="19" t="s">
        <v>34</v>
      </c>
      <c r="C14" s="20" t="s">
        <v>35</v>
      </c>
      <c r="D14" s="21">
        <v>1.0</v>
      </c>
      <c r="E14" s="22">
        <v>3.32</v>
      </c>
      <c r="F14" s="23">
        <f t="shared" si="1"/>
        <v>3.32</v>
      </c>
      <c r="G14" s="24" t="s">
        <v>13</v>
      </c>
      <c r="H14" s="25" t="s">
        <v>36</v>
      </c>
    </row>
    <row r="15" ht="45.0" customHeight="1">
      <c r="A15" s="10"/>
      <c r="B15" s="11" t="s">
        <v>37</v>
      </c>
      <c r="C15" s="12" t="s">
        <v>38</v>
      </c>
      <c r="D15" s="13">
        <v>1.0</v>
      </c>
      <c r="E15" s="14">
        <v>5.0</v>
      </c>
      <c r="F15" s="15">
        <f t="shared" si="1"/>
        <v>5</v>
      </c>
      <c r="G15" s="16" t="s">
        <v>13</v>
      </c>
      <c r="H15" s="17" t="s">
        <v>39</v>
      </c>
    </row>
    <row r="16" ht="18.0" customHeight="1">
      <c r="A16" s="28"/>
      <c r="B16" s="29" t="s">
        <v>40</v>
      </c>
      <c r="C16" s="30"/>
      <c r="D16" s="30"/>
      <c r="E16" s="31"/>
      <c r="F16" s="32">
        <f>SUM(F7:F15)</f>
        <v>104.98</v>
      </c>
      <c r="G16" s="33"/>
      <c r="H16" s="33"/>
    </row>
    <row r="17" ht="6.0" customHeight="1"/>
    <row r="18" ht="18.0" customHeight="1">
      <c r="A18" s="8"/>
      <c r="B18" s="9" t="s">
        <v>41</v>
      </c>
      <c r="C18" s="2"/>
      <c r="D18" s="2"/>
      <c r="E18" s="2"/>
      <c r="F18" s="2"/>
      <c r="G18" s="2"/>
      <c r="H18" s="3"/>
    </row>
    <row r="19" ht="45.0" customHeight="1">
      <c r="A19" s="10"/>
      <c r="B19" s="11" t="s">
        <v>42</v>
      </c>
      <c r="C19" s="12" t="s">
        <v>43</v>
      </c>
      <c r="D19" s="13">
        <v>2.0</v>
      </c>
      <c r="E19" s="14">
        <v>6.0</v>
      </c>
      <c r="F19" s="15">
        <f t="shared" ref="F19:F21" si="2">D19*E19</f>
        <v>12</v>
      </c>
      <c r="G19" s="16" t="s">
        <v>13</v>
      </c>
      <c r="H19" s="17" t="s">
        <v>44</v>
      </c>
    </row>
    <row r="20" ht="45.0" customHeight="1">
      <c r="A20" s="18"/>
      <c r="B20" s="19" t="s">
        <v>45</v>
      </c>
      <c r="C20" s="20" t="s">
        <v>46</v>
      </c>
      <c r="D20" s="21">
        <v>4.0</v>
      </c>
      <c r="E20" s="22">
        <v>3.25</v>
      </c>
      <c r="F20" s="23">
        <f t="shared" si="2"/>
        <v>13</v>
      </c>
      <c r="G20" s="24" t="s">
        <v>13</v>
      </c>
      <c r="H20" s="25" t="s">
        <v>47</v>
      </c>
    </row>
    <row r="21" ht="45.0" customHeight="1">
      <c r="A21" s="10"/>
      <c r="B21" s="11" t="s">
        <v>48</v>
      </c>
      <c r="C21" s="12" t="s">
        <v>49</v>
      </c>
      <c r="D21" s="13">
        <v>1.0</v>
      </c>
      <c r="E21" s="14">
        <v>6.0</v>
      </c>
      <c r="F21" s="15">
        <f t="shared" si="2"/>
        <v>6</v>
      </c>
      <c r="G21" s="16" t="s">
        <v>50</v>
      </c>
      <c r="H21" s="34"/>
    </row>
    <row r="22" ht="18.0" customHeight="1">
      <c r="A22" s="28"/>
      <c r="B22" s="29" t="s">
        <v>51</v>
      </c>
      <c r="C22" s="30"/>
      <c r="D22" s="30"/>
      <c r="E22" s="31"/>
      <c r="F22" s="32">
        <f>SUM(F19:F21)</f>
        <v>31</v>
      </c>
      <c r="G22" s="33"/>
      <c r="H22" s="33"/>
    </row>
    <row r="23" ht="6.0" customHeight="1"/>
    <row r="24" ht="18.0" customHeight="1">
      <c r="A24" s="8"/>
      <c r="B24" s="9" t="s">
        <v>52</v>
      </c>
      <c r="C24" s="2"/>
      <c r="D24" s="2"/>
      <c r="E24" s="2"/>
      <c r="F24" s="2"/>
      <c r="G24" s="2"/>
      <c r="H24" s="3"/>
    </row>
    <row r="25" ht="45.0" customHeight="1">
      <c r="A25" s="10"/>
      <c r="B25" s="11" t="s">
        <v>53</v>
      </c>
      <c r="C25" s="12" t="s">
        <v>54</v>
      </c>
      <c r="D25" s="13">
        <v>1.0</v>
      </c>
      <c r="E25" s="14">
        <v>12.0</v>
      </c>
      <c r="F25" s="15">
        <f t="shared" ref="F25:F29" si="3">D25*E25</f>
        <v>12</v>
      </c>
      <c r="G25" s="16" t="s">
        <v>50</v>
      </c>
      <c r="H25" s="34"/>
    </row>
    <row r="26" ht="45.0" customHeight="1">
      <c r="A26" s="18"/>
      <c r="B26" s="19" t="s">
        <v>55</v>
      </c>
      <c r="C26" s="20" t="s">
        <v>56</v>
      </c>
      <c r="D26" s="21">
        <v>1.0</v>
      </c>
      <c r="E26" s="22">
        <v>8.0</v>
      </c>
      <c r="F26" s="23">
        <f t="shared" si="3"/>
        <v>8</v>
      </c>
      <c r="G26" s="24" t="s">
        <v>50</v>
      </c>
      <c r="H26" s="35"/>
    </row>
    <row r="27" ht="45.0" customHeight="1">
      <c r="A27" s="10"/>
      <c r="B27" s="11" t="s">
        <v>57</v>
      </c>
      <c r="C27" s="12" t="s">
        <v>58</v>
      </c>
      <c r="D27" s="13">
        <v>1.0</v>
      </c>
      <c r="E27" s="14">
        <v>9.0</v>
      </c>
      <c r="F27" s="15">
        <f t="shared" si="3"/>
        <v>9</v>
      </c>
      <c r="G27" s="16" t="s">
        <v>50</v>
      </c>
      <c r="H27" s="34"/>
    </row>
    <row r="28" ht="45.0" customHeight="1">
      <c r="A28" s="18"/>
      <c r="B28" s="19" t="s">
        <v>59</v>
      </c>
      <c r="C28" s="20" t="s">
        <v>60</v>
      </c>
      <c r="D28" s="21">
        <v>1.0</v>
      </c>
      <c r="E28" s="22">
        <v>12.0</v>
      </c>
      <c r="F28" s="23">
        <f t="shared" si="3"/>
        <v>12</v>
      </c>
      <c r="G28" s="24" t="s">
        <v>50</v>
      </c>
      <c r="H28" s="35"/>
    </row>
    <row r="29" ht="45.0" customHeight="1">
      <c r="A29" s="10"/>
      <c r="B29" s="11" t="s">
        <v>61</v>
      </c>
      <c r="C29" s="12" t="s">
        <v>62</v>
      </c>
      <c r="D29" s="13">
        <v>4.0</v>
      </c>
      <c r="E29" s="14">
        <v>2.5</v>
      </c>
      <c r="F29" s="15">
        <f t="shared" si="3"/>
        <v>10</v>
      </c>
      <c r="G29" s="16" t="s">
        <v>50</v>
      </c>
      <c r="H29" s="34"/>
    </row>
    <row r="30" ht="18.0" customHeight="1">
      <c r="A30" s="28"/>
      <c r="B30" s="29" t="s">
        <v>63</v>
      </c>
      <c r="C30" s="30"/>
      <c r="D30" s="30"/>
      <c r="E30" s="31"/>
      <c r="F30" s="32">
        <f>SUM(F25:F29)</f>
        <v>51</v>
      </c>
      <c r="G30" s="33"/>
      <c r="H30" s="33"/>
    </row>
    <row r="31" ht="6.0" customHeight="1"/>
    <row r="32" ht="18.0" customHeight="1">
      <c r="A32" s="8"/>
      <c r="B32" s="9" t="s">
        <v>64</v>
      </c>
      <c r="C32" s="2"/>
      <c r="D32" s="2"/>
      <c r="E32" s="2"/>
      <c r="F32" s="2"/>
      <c r="G32" s="2"/>
      <c r="H32" s="3"/>
    </row>
    <row r="33" ht="45.0" customHeight="1">
      <c r="A33" s="10"/>
      <c r="B33" s="11" t="s">
        <v>65</v>
      </c>
      <c r="C33" s="12" t="s">
        <v>66</v>
      </c>
      <c r="D33" s="13">
        <v>3.0</v>
      </c>
      <c r="E33" s="14">
        <v>7.09</v>
      </c>
      <c r="F33" s="15">
        <f t="shared" ref="F33:F35" si="4">D33*E33</f>
        <v>21.27</v>
      </c>
      <c r="G33" s="16" t="s">
        <v>13</v>
      </c>
      <c r="H33" s="17" t="s">
        <v>67</v>
      </c>
    </row>
    <row r="34" ht="45.0" customHeight="1">
      <c r="A34" s="18"/>
      <c r="B34" s="19" t="s">
        <v>68</v>
      </c>
      <c r="C34" s="20" t="s">
        <v>69</v>
      </c>
      <c r="D34" s="21">
        <v>3.0</v>
      </c>
      <c r="E34" s="22">
        <v>5.15</v>
      </c>
      <c r="F34" s="23">
        <f t="shared" si="4"/>
        <v>15.45</v>
      </c>
      <c r="G34" s="24" t="s">
        <v>70</v>
      </c>
      <c r="H34" s="25" t="s">
        <v>71</v>
      </c>
    </row>
    <row r="35" ht="45.0" customHeight="1">
      <c r="A35" s="10"/>
      <c r="B35" s="11" t="s">
        <v>72</v>
      </c>
      <c r="C35" s="12" t="s">
        <v>73</v>
      </c>
      <c r="D35" s="13">
        <v>1.0</v>
      </c>
      <c r="E35" s="14">
        <v>6.0</v>
      </c>
      <c r="F35" s="15">
        <f t="shared" si="4"/>
        <v>6</v>
      </c>
      <c r="G35" s="16" t="s">
        <v>74</v>
      </c>
      <c r="H35" s="34"/>
    </row>
    <row r="36" ht="18.0" customHeight="1">
      <c r="A36" s="28"/>
      <c r="B36" s="29" t="s">
        <v>75</v>
      </c>
      <c r="C36" s="30"/>
      <c r="D36" s="30"/>
      <c r="E36" s="31"/>
      <c r="F36" s="32">
        <f>SUM(F33:F35)</f>
        <v>42.72</v>
      </c>
      <c r="G36" s="33"/>
      <c r="H36" s="33"/>
    </row>
    <row r="37" ht="6.0" customHeight="1"/>
    <row r="38" ht="18.0" customHeight="1">
      <c r="A38" s="8"/>
      <c r="B38" s="9" t="s">
        <v>76</v>
      </c>
      <c r="C38" s="2"/>
      <c r="D38" s="2"/>
      <c r="E38" s="2"/>
      <c r="F38" s="2"/>
      <c r="G38" s="2"/>
      <c r="H38" s="3"/>
    </row>
    <row r="39" ht="45.0" customHeight="1">
      <c r="A39" s="10"/>
      <c r="B39" s="11" t="s">
        <v>77</v>
      </c>
      <c r="C39" s="12" t="s">
        <v>78</v>
      </c>
      <c r="D39" s="13">
        <v>1.0</v>
      </c>
      <c r="E39" s="14">
        <v>8.0</v>
      </c>
      <c r="F39" s="15">
        <f t="shared" ref="F39:F42" si="5">D39*E39</f>
        <v>8</v>
      </c>
      <c r="G39" s="16" t="s">
        <v>79</v>
      </c>
      <c r="H39" s="34"/>
    </row>
    <row r="40" ht="45.0" customHeight="1">
      <c r="A40" s="18"/>
      <c r="B40" s="19" t="s">
        <v>80</v>
      </c>
      <c r="C40" s="20" t="s">
        <v>81</v>
      </c>
      <c r="D40" s="21">
        <v>1.0</v>
      </c>
      <c r="E40" s="22">
        <v>9.0</v>
      </c>
      <c r="F40" s="23">
        <f t="shared" si="5"/>
        <v>9</v>
      </c>
      <c r="G40" s="24" t="s">
        <v>79</v>
      </c>
      <c r="H40" s="35"/>
    </row>
    <row r="41" ht="45.0" customHeight="1">
      <c r="A41" s="10"/>
      <c r="B41" s="11" t="s">
        <v>82</v>
      </c>
      <c r="C41" s="12" t="s">
        <v>83</v>
      </c>
      <c r="D41" s="13">
        <v>1.0</v>
      </c>
      <c r="E41" s="14">
        <v>4.0</v>
      </c>
      <c r="F41" s="15">
        <f t="shared" si="5"/>
        <v>4</v>
      </c>
      <c r="G41" s="16" t="s">
        <v>84</v>
      </c>
      <c r="H41" s="34"/>
    </row>
    <row r="42" ht="45.0" customHeight="1">
      <c r="A42" s="18"/>
      <c r="B42" s="19" t="s">
        <v>85</v>
      </c>
      <c r="C42" s="20" t="s">
        <v>86</v>
      </c>
      <c r="D42" s="21">
        <v>1.0</v>
      </c>
      <c r="E42" s="22">
        <v>2.5</v>
      </c>
      <c r="F42" s="23">
        <f t="shared" si="5"/>
        <v>2.5</v>
      </c>
      <c r="G42" s="24" t="s">
        <v>50</v>
      </c>
      <c r="H42" s="35"/>
    </row>
    <row r="43" ht="18.0" customHeight="1">
      <c r="A43" s="28"/>
      <c r="B43" s="29" t="s">
        <v>87</v>
      </c>
      <c r="C43" s="30"/>
      <c r="D43" s="30"/>
      <c r="E43" s="31"/>
      <c r="F43" s="32">
        <f>SUM(F39:F42)</f>
        <v>23.5</v>
      </c>
      <c r="G43" s="33"/>
      <c r="H43" s="33"/>
    </row>
    <row r="44" ht="6.0" customHeight="1"/>
    <row r="45" ht="18.0" customHeight="1">
      <c r="A45" s="8"/>
      <c r="B45" s="9" t="s">
        <v>88</v>
      </c>
      <c r="C45" s="2"/>
      <c r="D45" s="2"/>
      <c r="E45" s="2"/>
      <c r="F45" s="2"/>
      <c r="G45" s="2"/>
      <c r="H45" s="3"/>
    </row>
    <row r="46" ht="45.0" customHeight="1">
      <c r="A46" s="10"/>
      <c r="B46" s="11" t="s">
        <v>89</v>
      </c>
      <c r="C46" s="12" t="s">
        <v>90</v>
      </c>
      <c r="D46" s="13">
        <v>1.0</v>
      </c>
      <c r="E46" s="14">
        <v>0.0</v>
      </c>
      <c r="F46" s="15">
        <f t="shared" ref="F46:F49" si="6">D46*E46</f>
        <v>0</v>
      </c>
      <c r="G46" s="36" t="s">
        <v>91</v>
      </c>
      <c r="H46" s="37" t="s">
        <v>92</v>
      </c>
    </row>
    <row r="47" ht="45.0" customHeight="1">
      <c r="A47" s="18"/>
      <c r="B47" s="19" t="s">
        <v>93</v>
      </c>
      <c r="C47" s="20" t="s">
        <v>94</v>
      </c>
      <c r="D47" s="21">
        <v>1.0</v>
      </c>
      <c r="E47" s="22">
        <v>0.0</v>
      </c>
      <c r="F47" s="23">
        <f t="shared" si="6"/>
        <v>0</v>
      </c>
      <c r="G47" s="38" t="s">
        <v>91</v>
      </c>
      <c r="H47" s="37" t="s">
        <v>95</v>
      </c>
    </row>
    <row r="48" ht="45.0" customHeight="1">
      <c r="A48" s="10"/>
      <c r="B48" s="11" t="s">
        <v>96</v>
      </c>
      <c r="C48" s="12" t="s">
        <v>97</v>
      </c>
      <c r="D48" s="13">
        <v>1.0</v>
      </c>
      <c r="E48" s="14">
        <v>0.0</v>
      </c>
      <c r="F48" s="15">
        <f t="shared" si="6"/>
        <v>0</v>
      </c>
      <c r="G48" s="36" t="s">
        <v>98</v>
      </c>
      <c r="H48" s="34"/>
    </row>
    <row r="49" ht="45.0" customHeight="1">
      <c r="A49" s="18"/>
      <c r="B49" s="19" t="s">
        <v>99</v>
      </c>
      <c r="C49" s="20" t="s">
        <v>100</v>
      </c>
      <c r="D49" s="21">
        <v>1.0</v>
      </c>
      <c r="E49" s="22">
        <v>0.0</v>
      </c>
      <c r="F49" s="23">
        <f t="shared" si="6"/>
        <v>0</v>
      </c>
      <c r="G49" s="38" t="s">
        <v>98</v>
      </c>
      <c r="H49" s="35"/>
    </row>
    <row r="50" ht="18.0" customHeight="1">
      <c r="A50" s="28"/>
      <c r="B50" s="29" t="s">
        <v>101</v>
      </c>
      <c r="C50" s="30"/>
      <c r="D50" s="30"/>
      <c r="E50" s="31"/>
      <c r="F50" s="32">
        <f>SUM(F46:F49)</f>
        <v>0</v>
      </c>
      <c r="G50" s="33"/>
      <c r="H50" s="33"/>
    </row>
    <row r="51" ht="6.0" customHeight="1"/>
    <row r="52" ht="18.0" customHeight="1">
      <c r="A52" s="8"/>
      <c r="B52" s="9" t="s">
        <v>102</v>
      </c>
      <c r="C52" s="2"/>
      <c r="D52" s="2"/>
      <c r="E52" s="2"/>
      <c r="F52" s="2"/>
      <c r="G52" s="2"/>
      <c r="H52" s="3"/>
    </row>
    <row r="53" ht="45.0" customHeight="1">
      <c r="A53" s="10"/>
      <c r="B53" s="11" t="s">
        <v>103</v>
      </c>
      <c r="C53" s="12" t="s">
        <v>104</v>
      </c>
      <c r="D53" s="13">
        <v>1.0</v>
      </c>
      <c r="E53" s="14">
        <v>15.0</v>
      </c>
      <c r="F53" s="15">
        <f t="shared" ref="F53:F55" si="7">D53*E53</f>
        <v>15</v>
      </c>
      <c r="G53" s="16" t="s">
        <v>105</v>
      </c>
      <c r="H53" s="34"/>
    </row>
    <row r="54" ht="45.0" customHeight="1">
      <c r="A54" s="18"/>
      <c r="B54" s="19" t="s">
        <v>106</v>
      </c>
      <c r="C54" s="20" t="s">
        <v>107</v>
      </c>
      <c r="D54" s="21">
        <v>1.0</v>
      </c>
      <c r="E54" s="22">
        <v>8.0</v>
      </c>
      <c r="F54" s="23">
        <f t="shared" si="7"/>
        <v>8</v>
      </c>
      <c r="G54" s="24" t="s">
        <v>105</v>
      </c>
      <c r="H54" s="35"/>
    </row>
    <row r="55" ht="45.0" customHeight="1">
      <c r="A55" s="10"/>
      <c r="B55" s="11" t="s">
        <v>108</v>
      </c>
      <c r="C55" s="12" t="s">
        <v>109</v>
      </c>
      <c r="D55" s="13">
        <v>1.0</v>
      </c>
      <c r="E55" s="14">
        <v>5.0</v>
      </c>
      <c r="F55" s="15">
        <f t="shared" si="7"/>
        <v>5</v>
      </c>
      <c r="G55" s="16" t="s">
        <v>105</v>
      </c>
      <c r="H55" s="34"/>
    </row>
    <row r="56" ht="18.0" customHeight="1">
      <c r="A56" s="28"/>
      <c r="B56" s="29" t="s">
        <v>110</v>
      </c>
      <c r="C56" s="30"/>
      <c r="D56" s="30"/>
      <c r="E56" s="31"/>
      <c r="F56" s="32">
        <f>SUM(F53:F55)</f>
        <v>28</v>
      </c>
      <c r="G56" s="33"/>
      <c r="H56" s="33"/>
    </row>
    <row r="57" ht="6.0" customHeight="1"/>
    <row r="58" ht="24.0" customHeight="1">
      <c r="A58" s="8"/>
      <c r="B58" s="39" t="s">
        <v>111</v>
      </c>
      <c r="C58" s="40"/>
      <c r="D58" s="40"/>
      <c r="E58" s="41"/>
      <c r="F58" s="42">
        <f>F16+F22+F30+F36+F43+F50+F56</f>
        <v>281.2</v>
      </c>
      <c r="G58" s="43"/>
      <c r="H58" s="43"/>
    </row>
    <row r="59" ht="15.75" customHeight="1"/>
    <row r="60" ht="36.0" customHeight="1">
      <c r="B60" s="44" t="s">
        <v>112</v>
      </c>
    </row>
    <row r="61" ht="27.75" customHeight="1">
      <c r="B61" s="44" t="s">
        <v>113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:H1"/>
    <mergeCell ref="B2:H2"/>
    <mergeCell ref="B3:H3"/>
    <mergeCell ref="B6:H6"/>
    <mergeCell ref="B16:E16"/>
    <mergeCell ref="B18:H18"/>
    <mergeCell ref="B24:H24"/>
    <mergeCell ref="B50:E50"/>
    <mergeCell ref="B52:H52"/>
    <mergeCell ref="B56:E56"/>
    <mergeCell ref="B58:E58"/>
    <mergeCell ref="B60:H60"/>
    <mergeCell ref="B61:H61"/>
    <mergeCell ref="B22:E22"/>
    <mergeCell ref="B30:E30"/>
    <mergeCell ref="B32:H32"/>
    <mergeCell ref="B36:E36"/>
    <mergeCell ref="B38:H38"/>
    <mergeCell ref="B43:E43"/>
    <mergeCell ref="B45:H45"/>
  </mergeCells>
  <hyperlinks>
    <hyperlink r:id="rId1" ref="H1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2026-03-27T01:24:47Z</dcterms:created>
  <dc:creator>openpyxl</dc:creator>
</cp:coreProperties>
</file>